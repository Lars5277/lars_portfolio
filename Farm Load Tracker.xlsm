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d.docs.live.net/a0ee4f927266b4ef/Desktop/"/>
    </mc:Choice>
  </mc:AlternateContent>
  <xr:revisionPtr revIDLastSave="813" documentId="8_{2C29E122-2BB1-4BE0-B4F5-1F96DCA08DBA}" xr6:coauthVersionLast="47" xr6:coauthVersionMax="47" xr10:uidLastSave="{11CF51A3-7B38-4307-BBA3-C17D4FA47205}"/>
  <bookViews>
    <workbookView xWindow="-120" yWindow="-120" windowWidth="29040" windowHeight="15720" xr2:uid="{00000000-000D-0000-FFFF-FFFF00000000}"/>
  </bookViews>
  <sheets>
    <sheet name="Entry Form" sheetId="1" r:id="rId1"/>
    <sheet name="Reports" sheetId="5" r:id="rId2"/>
    <sheet name="Load Sheet" sheetId="2" r:id="rId3"/>
    <sheet name="Raw" sheetId="3" r:id="rId4"/>
    <sheet name="Lists" sheetId="4" r:id="rId5"/>
  </sheets>
  <definedNames>
    <definedName name="_xleta.IF" hidden="1" xlm="1">#NAME?</definedName>
  </definedNames>
  <calcPr calcId="191029"/>
  <pivotCaches>
    <pivotCache cacheId="0" r:id="rId6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" i="1" l="1"/>
  <c r="D33" i="1" s="1"/>
  <c r="D32" i="1"/>
  <c r="D29" i="1"/>
  <c r="D31" i="1"/>
  <c r="D30" i="1"/>
  <c r="D28" i="1"/>
  <c r="D27" i="1"/>
  <c r="D26" i="1"/>
  <c r="D25" i="1"/>
  <c r="D24" i="1"/>
  <c r="D23" i="1"/>
  <c r="D22" i="1"/>
  <c r="D21" i="1"/>
</calcChain>
</file>

<file path=xl/sharedStrings.xml><?xml version="1.0" encoding="utf-8"?>
<sst xmlns="http://schemas.openxmlformats.org/spreadsheetml/2006/main" count="2157" uniqueCount="64">
  <si>
    <t>Date</t>
  </si>
  <si>
    <t>Driver</t>
  </si>
  <si>
    <t>Elevator</t>
  </si>
  <si>
    <t>Farm</t>
  </si>
  <si>
    <t>Gross Bu</t>
  </si>
  <si>
    <t>Net Bu</t>
  </si>
  <si>
    <t>Test Wt</t>
  </si>
  <si>
    <t>Moisture</t>
  </si>
  <si>
    <t>Paid</t>
  </si>
  <si>
    <t>Price</t>
  </si>
  <si>
    <t>Season</t>
  </si>
  <si>
    <t>Crop</t>
  </si>
  <si>
    <t>Drone</t>
  </si>
  <si>
    <t>Stown</t>
  </si>
  <si>
    <t>Lars</t>
  </si>
  <si>
    <t>Soybeans</t>
  </si>
  <si>
    <t>Not Paid</t>
  </si>
  <si>
    <t>Farms</t>
  </si>
  <si>
    <t>Corn</t>
  </si>
  <si>
    <t>White Corn</t>
  </si>
  <si>
    <t>MTV CGB</t>
  </si>
  <si>
    <t>C Mills</t>
  </si>
  <si>
    <t>Johnita's</t>
  </si>
  <si>
    <t>Josh's</t>
  </si>
  <si>
    <t>Dad's</t>
  </si>
  <si>
    <t>Oil Well</t>
  </si>
  <si>
    <t>Cottonwood</t>
  </si>
  <si>
    <t>Creek</t>
  </si>
  <si>
    <t>Lawler</t>
  </si>
  <si>
    <t>Park</t>
  </si>
  <si>
    <t>W</t>
  </si>
  <si>
    <t>Total Sale</t>
  </si>
  <si>
    <t xml:space="preserve">Total Sale </t>
  </si>
  <si>
    <t>Sum of Season</t>
  </si>
  <si>
    <t>Row Labels</t>
  </si>
  <si>
    <t>Grand Total</t>
  </si>
  <si>
    <t>Sum of Net Bu</t>
  </si>
  <si>
    <t>Sum of Total Sale</t>
  </si>
  <si>
    <t>MTV</t>
  </si>
  <si>
    <t>S-Town</t>
  </si>
  <si>
    <t>Cairo</t>
  </si>
  <si>
    <t>GP MtV</t>
  </si>
  <si>
    <t>Old P</t>
  </si>
  <si>
    <t>y</t>
  </si>
  <si>
    <t>McL</t>
  </si>
  <si>
    <t>MtV</t>
  </si>
  <si>
    <t>STown</t>
  </si>
  <si>
    <t>added</t>
  </si>
  <si>
    <t>Popcorn Plant</t>
  </si>
  <si>
    <t xml:space="preserve">STown </t>
  </si>
  <si>
    <t xml:space="preserve">Lars </t>
  </si>
  <si>
    <t>Viserion</t>
  </si>
  <si>
    <t>Josh</t>
  </si>
  <si>
    <t>Todd</t>
  </si>
  <si>
    <t>ADM</t>
  </si>
  <si>
    <t>Old Pony</t>
  </si>
  <si>
    <t>Valero</t>
  </si>
  <si>
    <t>GRN PLNS</t>
  </si>
  <si>
    <t>Carl</t>
  </si>
  <si>
    <t>S-town</t>
  </si>
  <si>
    <t>MTV ADM</t>
  </si>
  <si>
    <t>Case</t>
  </si>
  <si>
    <t>1618.24-2</t>
  </si>
  <si>
    <t>Farm Grain Loads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</si>
</sst>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&quot;$&quot;#,##0.00"/>
  </numFmts>
  <fonts count="8" x14ac:knownFonts="1">
    <font>
      <sz val="11"/>
      <color theme="1"/>
      <name val="Calibri"/>
      <family val="2"/>
      <scheme val="minor"/>
    </font>
    <font>
      <sz val="14"/>
      <color theme="1"/>
      <name val="Times New Roman"/>
      <family val="1"/>
    </font>
    <font>
      <sz val="26"/>
      <color rgb="FF00B050"/>
      <name val="Times New Roman"/>
      <family val="1"/>
    </font>
    <font>
      <sz val="14"/>
      <color theme="1"/>
      <name val="Calibri"/>
      <family val="2"/>
      <scheme val="minor"/>
    </font>
    <font>
      <b/>
      <sz val="12"/>
      <color theme="1" tint="4.9989318521683403E-2"/>
      <name val="Times New Roman"/>
      <family val="1"/>
    </font>
    <font>
      <sz val="8"/>
      <color rgb="FF000000"/>
      <name val="Segoe UI"/>
      <family val="2"/>
    </font>
    <font>
      <sz val="18"/>
      <color rgb="FF000000"/>
      <name val="Times New Roman"/>
      <family val="1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/>
      <bottom/>
      <diagonal/>
    </border>
    <border>
      <left/>
      <right style="thin">
        <color theme="4" tint="0.39997558519241921"/>
      </right>
      <top/>
      <bottom/>
      <diagonal/>
    </border>
  </borders>
  <cellStyleXfs count="1">
    <xf numFmtId="0" fontId="0" fillId="0" borderId="0"/>
  </cellStyleXfs>
  <cellXfs count="31">
    <xf numFmtId="0" fontId="0" fillId="0" borderId="0" xfId="0"/>
    <xf numFmtId="0" fontId="3" fillId="0" borderId="0" xfId="0" applyFont="1"/>
    <xf numFmtId="0" fontId="2" fillId="2" borderId="2" xfId="0" applyFont="1" applyFill="1" applyBorder="1"/>
    <xf numFmtId="0" fontId="0" fillId="2" borderId="3" xfId="0" applyFill="1" applyBorder="1"/>
    <xf numFmtId="0" fontId="0" fillId="2" borderId="4" xfId="0" applyFill="1" applyBorder="1"/>
    <xf numFmtId="14" fontId="0" fillId="0" borderId="0" xfId="0" applyNumberFormat="1"/>
    <xf numFmtId="164" fontId="0" fillId="0" borderId="0" xfId="0" applyNumberFormat="1"/>
    <xf numFmtId="0" fontId="0" fillId="3" borderId="5" xfId="0" applyFill="1" applyBorder="1"/>
    <xf numFmtId="0" fontId="0" fillId="3" borderId="0" xfId="0" applyFill="1"/>
    <xf numFmtId="0" fontId="0" fillId="3" borderId="6" xfId="0" applyFill="1" applyBorder="1"/>
    <xf numFmtId="0" fontId="1" fillId="3" borderId="5" xfId="0" applyFont="1" applyFill="1" applyBorder="1"/>
    <xf numFmtId="0" fontId="1" fillId="3" borderId="0" xfId="0" applyFont="1" applyFill="1"/>
    <xf numFmtId="0" fontId="0" fillId="3" borderId="7" xfId="0" applyFill="1" applyBorder="1"/>
    <xf numFmtId="0" fontId="0" fillId="3" borderId="8" xfId="0" applyFill="1" applyBorder="1"/>
    <xf numFmtId="0" fontId="0" fillId="3" borderId="9" xfId="0" applyFill="1" applyBorder="1"/>
    <xf numFmtId="14" fontId="0" fillId="4" borderId="1" xfId="0" applyNumberFormat="1" applyFill="1" applyBorder="1"/>
    <xf numFmtId="0" fontId="0" fillId="4" borderId="1" xfId="0" applyFill="1" applyBorder="1"/>
    <xf numFmtId="165" fontId="0" fillId="0" borderId="0" xfId="0" applyNumberFormat="1"/>
    <xf numFmtId="0" fontId="4" fillId="2" borderId="0" xfId="0" applyFont="1" applyFill="1"/>
    <xf numFmtId="164" fontId="4" fillId="2" borderId="0" xfId="0" applyNumberFormat="1" applyFont="1" applyFill="1"/>
    <xf numFmtId="165" fontId="4" fillId="2" borderId="0" xfId="0" applyNumberFormat="1" applyFont="1" applyFill="1"/>
    <xf numFmtId="14" fontId="4" fillId="2" borderId="10" xfId="0" applyNumberFormat="1" applyFont="1" applyFill="1" applyBorder="1"/>
    <xf numFmtId="165" fontId="0" fillId="4" borderId="1" xfId="0" applyNumberFormat="1" applyFill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165" fontId="4" fillId="2" borderId="11" xfId="0" applyNumberFormat="1" applyFont="1" applyFill="1" applyBorder="1"/>
    <xf numFmtId="0" fontId="7" fillId="0" borderId="0" xfId="0" applyFont="1"/>
    <xf numFmtId="14" fontId="7" fillId="0" borderId="0" xfId="0" applyNumberFormat="1" applyFont="1"/>
    <xf numFmtId="165" fontId="7" fillId="0" borderId="0" xfId="0" applyNumberFormat="1" applyFont="1"/>
    <xf numFmtId="0" fontId="0" fillId="0" borderId="0" xfId="0" applyNumberFormat="1"/>
  </cellXfs>
  <cellStyles count="1">
    <cellStyle name="Normal" xfId="0" builtinId="0"/>
  </cellStyles>
  <dxfs count="4">
    <dxf>
      <numFmt numFmtId="165" formatCode="&quot;$&quot;#,##0.00"/>
    </dxf>
    <dxf>
      <numFmt numFmtId="19" formatCode="m/d/yyyy"/>
    </dxf>
    <dxf>
      <border outline="0">
        <top style="thin">
          <color theme="4" tint="0.39997558519241921"/>
        </top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4.9989318521683403E-2"/>
        <name val="Times New Roman"/>
        <family val="1"/>
        <scheme val="none"/>
      </font>
      <fill>
        <patternFill patternType="solid">
          <fgColor indexed="64"/>
          <bgColor rgb="FFFFFF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microsoft.com/office/2017/10/relationships/person" Target="persons/perso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Radio" firstButton="1" fmlaLink="$E$29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7</xdr:row>
          <xdr:rowOff>9525</xdr:rowOff>
        </xdr:from>
        <xdr:to>
          <xdr:col>5</xdr:col>
          <xdr:colOff>590550</xdr:colOff>
          <xdr:row>7</xdr:row>
          <xdr:rowOff>190500</xdr:rowOff>
        </xdr:to>
        <xdr:sp macro="" textlink="">
          <xdr:nvSpPr>
            <xdr:cNvPr id="1025" name="Option 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561975</xdr:colOff>
          <xdr:row>7</xdr:row>
          <xdr:rowOff>9525</xdr:rowOff>
        </xdr:from>
        <xdr:to>
          <xdr:col>5</xdr:col>
          <xdr:colOff>1133475</xdr:colOff>
          <xdr:row>7</xdr:row>
          <xdr:rowOff>190500</xdr:rowOff>
        </xdr:to>
        <xdr:sp macro="" textlink="">
          <xdr:nvSpPr>
            <xdr:cNvPr id="1026" name="Option 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Not Paid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15</xdr:row>
          <xdr:rowOff>76200</xdr:rowOff>
        </xdr:from>
        <xdr:to>
          <xdr:col>3</xdr:col>
          <xdr:colOff>447675</xdr:colOff>
          <xdr:row>17</xdr:row>
          <xdr:rowOff>38100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Save Changes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Lars Oliver" refreshedDate="45694.802807060187" createdVersion="8" refreshedVersion="8" minRefreshableVersion="3" recordCount="449" xr:uid="{C7384118-6945-4AC1-970D-85F275C8E644}">
  <cacheSource type="worksheet">
    <worksheetSource name="Table3"/>
  </cacheSource>
  <cacheFields count="13">
    <cacheField name="Date" numFmtId="14">
      <sharedItems containsNonDate="0" containsDate="1" containsString="0" containsBlank="1" minDate="1900-01-19T00:00:00" maxDate="2025-12-17T00:00:00"/>
    </cacheField>
    <cacheField name="Farm" numFmtId="0">
      <sharedItems containsBlank="1" count="11">
        <s v="C Mills"/>
        <s v="Josh's"/>
        <s v="Cottonwood"/>
        <s v="Drone"/>
        <s v="Dad's"/>
        <s v="Creek"/>
        <s v="Park"/>
        <s v="Johnita's"/>
        <s v="Oil Well"/>
        <s v="Lawler"/>
        <m/>
      </sharedItems>
    </cacheField>
    <cacheField name="Elevator" numFmtId="0">
      <sharedItems containsBlank="1"/>
    </cacheField>
    <cacheField name="Driver" numFmtId="0">
      <sharedItems containsBlank="1"/>
    </cacheField>
    <cacheField name="Gross Bu" numFmtId="0">
      <sharedItems containsBlank="1" containsMixedTypes="1" containsNumber="1" minValue="10.742000000000001" maxValue="1247.5"/>
    </cacheField>
    <cacheField name="Net Bu" numFmtId="0">
      <sharedItems containsString="0" containsBlank="1" containsNumber="1" minValue="10.44" maxValue="1213.57"/>
    </cacheField>
    <cacheField name="Test Wt" numFmtId="0">
      <sharedItems containsString="0" containsBlank="1" containsNumber="1" minValue="10.8" maxValue="67.2"/>
    </cacheField>
    <cacheField name="Moisture" numFmtId="0">
      <sharedItems containsString="0" containsBlank="1" containsNumber="1" minValue="9.3000000000000007" maxValue="61.8"/>
    </cacheField>
    <cacheField name="Paid" numFmtId="0">
      <sharedItems containsBlank="1" containsMixedTypes="1" containsNumber="1" minValue="12.56" maxValue="12.56"/>
    </cacheField>
    <cacheField name="Price" numFmtId="165">
      <sharedItems containsString="0" containsBlank="1" containsNumber="1" minValue="4.29" maxValue="17.649999999999999"/>
    </cacheField>
    <cacheField name="Crop" numFmtId="0">
      <sharedItems containsBlank="1" containsMixedTypes="1" containsNumber="1" minValue="97.08" maxValue="97.08" count="5">
        <s v="Soybeans"/>
        <s v="Corn"/>
        <s v="White Corn"/>
        <m/>
        <n v="97.08" u="1"/>
      </sharedItems>
    </cacheField>
    <cacheField name="Season" numFmtId="0">
      <sharedItems containsString="0" containsBlank="1" containsNumber="1" containsInteger="1" minValue="2018" maxValue="2024" count="6">
        <n v="2024"/>
        <n v="2018"/>
        <n v="2019"/>
        <n v="2020"/>
        <n v="2021"/>
        <m/>
      </sharedItems>
    </cacheField>
    <cacheField name="Total Sale" numFmtId="0">
      <sharedItems containsString="0" containsBlank="1" containsNumber="1" minValue="0" maxValue="15481.724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9">
  <r>
    <d v="2024-01-15T00:00:00"/>
    <x v="0"/>
    <s v="Stown"/>
    <s v="Lars"/>
    <n v="888"/>
    <n v="888"/>
    <n v="57.5"/>
    <n v="12.5"/>
    <s v="Not Paid"/>
    <n v="8.8800000000000008"/>
    <x v="0"/>
    <x v="0"/>
    <n v="7885.4400000000005"/>
  </r>
  <r>
    <d v="2025-01-15T00:00:00"/>
    <x v="0"/>
    <s v="Stown"/>
    <s v="Lars"/>
    <n v="988"/>
    <n v="988"/>
    <n v="61"/>
    <n v="14.5"/>
    <s v="Not Paid"/>
    <n v="5.68"/>
    <x v="1"/>
    <x v="0"/>
    <n v="5611.84"/>
  </r>
  <r>
    <d v="2025-01-28T00:00:00"/>
    <x v="1"/>
    <s v="Stown"/>
    <s v="Lars"/>
    <n v="995"/>
    <n v="995"/>
    <n v="63"/>
    <n v="14"/>
    <s v="Not Paid"/>
    <n v="5.85"/>
    <x v="2"/>
    <x v="0"/>
    <n v="5820.75"/>
  </r>
  <r>
    <d v="2025-01-30T00:00:00"/>
    <x v="1"/>
    <s v="Stown"/>
    <s v="Lars"/>
    <n v="999"/>
    <n v="999"/>
    <n v="62"/>
    <n v="14"/>
    <s v="Not Paid"/>
    <n v="5.55"/>
    <x v="2"/>
    <x v="0"/>
    <n v="5544.45"/>
  </r>
  <r>
    <d v="2025-01-31T00:00:00"/>
    <x v="1"/>
    <s v="Stown"/>
    <s v="Lars"/>
    <n v="1006"/>
    <n v="1006"/>
    <n v="62"/>
    <n v="14"/>
    <s v="Not Paid"/>
    <n v="5.61"/>
    <x v="2"/>
    <x v="0"/>
    <n v="5643.6600000000008"/>
  </r>
  <r>
    <d v="2025-02-04T00:00:00"/>
    <x v="2"/>
    <s v="Stown"/>
    <s v="Lars"/>
    <n v="1015"/>
    <n v="1015"/>
    <n v="60"/>
    <n v="13"/>
    <s v="Not Paid"/>
    <n v="11.32"/>
    <x v="0"/>
    <x v="0"/>
    <n v="11489.800000000001"/>
  </r>
  <r>
    <d v="2025-02-05T00:00:00"/>
    <x v="2"/>
    <s v="Stown"/>
    <s v="Lars"/>
    <n v="1000"/>
    <n v="1000"/>
    <n v="59"/>
    <n v="13"/>
    <s v="Not Paid"/>
    <n v="11.62"/>
    <x v="0"/>
    <x v="0"/>
    <n v="11620"/>
  </r>
  <r>
    <d v="2018-10-05T00:00:00"/>
    <x v="3"/>
    <s v="MTV"/>
    <s v="Lars"/>
    <n v="776"/>
    <n v="776"/>
    <m/>
    <n v="11.1"/>
    <m/>
    <m/>
    <x v="0"/>
    <x v="1"/>
    <n v="0"/>
  </r>
  <r>
    <d v="2018-10-06T00:00:00"/>
    <x v="3"/>
    <s v="MTV"/>
    <s v="Lars"/>
    <n v="746.67"/>
    <n v="746.6"/>
    <m/>
    <n v="10.8"/>
    <m/>
    <m/>
    <x v="0"/>
    <x v="1"/>
    <n v="0"/>
  </r>
  <r>
    <d v="2018-10-06T00:00:00"/>
    <x v="3"/>
    <s v="MTV"/>
    <s v="Lars"/>
    <n v="798"/>
    <n v="798"/>
    <m/>
    <n v="10.7"/>
    <m/>
    <m/>
    <x v="0"/>
    <x v="1"/>
    <n v="0"/>
  </r>
  <r>
    <d v="2018-09-04T00:00:00"/>
    <x v="4"/>
    <s v="S-Town"/>
    <s v="Lars"/>
    <n v="824.33299999999997"/>
    <n v="807.846"/>
    <m/>
    <n v="13.2"/>
    <m/>
    <m/>
    <x v="1"/>
    <x v="1"/>
    <n v="0"/>
  </r>
  <r>
    <d v="2018-09-04T00:00:00"/>
    <x v="4"/>
    <s v="S-Town"/>
    <s v="Lars"/>
    <n v="757.33299999999997"/>
    <n v="757.33299999999997"/>
    <m/>
    <n v="12.1"/>
    <m/>
    <m/>
    <x v="1"/>
    <x v="1"/>
    <n v="0"/>
  </r>
  <r>
    <d v="2018-09-05T00:00:00"/>
    <x v="4"/>
    <s v="S-Town"/>
    <s v="Lars"/>
    <n v="797.33299999999997"/>
    <n v="761.45299999999997"/>
    <m/>
    <n v="14.4"/>
    <m/>
    <m/>
    <x v="1"/>
    <x v="1"/>
    <n v="0"/>
  </r>
  <r>
    <d v="2018-09-05T00:00:00"/>
    <x v="4"/>
    <s v="S-Town"/>
    <s v="Lars"/>
    <n v="788.66700000000003"/>
    <n v="682.197"/>
    <m/>
    <n v="17.399999999999999"/>
    <m/>
    <m/>
    <x v="1"/>
    <x v="1"/>
    <n v="0"/>
  </r>
  <r>
    <d v="2018-10-18T00:00:00"/>
    <x v="0"/>
    <s v="Cairo"/>
    <s v="Lars"/>
    <n v="868"/>
    <n v="868"/>
    <m/>
    <n v="14.9"/>
    <m/>
    <m/>
    <x v="0"/>
    <x v="1"/>
    <n v="0"/>
  </r>
  <r>
    <d v="2018-10-19T00:00:00"/>
    <x v="0"/>
    <s v="Cairo"/>
    <s v="Lars"/>
    <n v="886.67"/>
    <n v="886.67"/>
    <m/>
    <n v="14.9"/>
    <m/>
    <m/>
    <x v="0"/>
    <x v="1"/>
    <n v="0"/>
  </r>
  <r>
    <d v="2018-10-23T00:00:00"/>
    <x v="0"/>
    <s v="Cairo"/>
    <s v="Lars"/>
    <n v="868"/>
    <n v="868"/>
    <m/>
    <n v="12.7"/>
    <m/>
    <m/>
    <x v="0"/>
    <x v="1"/>
    <n v="0"/>
  </r>
  <r>
    <d v="2018-10-24T00:00:00"/>
    <x v="0"/>
    <s v="Cairo"/>
    <s v="Lars"/>
    <n v="821.33299999999997"/>
    <n v="821.33299999999997"/>
    <m/>
    <n v="12.54"/>
    <m/>
    <m/>
    <x v="0"/>
    <x v="1"/>
    <n v="0"/>
  </r>
  <r>
    <d v="2018-10-26T00:00:00"/>
    <x v="0"/>
    <s v="Cairo"/>
    <s v="Lars"/>
    <n v="563"/>
    <n v="563"/>
    <m/>
    <n v="12.5"/>
    <m/>
    <m/>
    <x v="0"/>
    <x v="1"/>
    <n v="0"/>
  </r>
  <r>
    <d v="2018-10-12T00:00:00"/>
    <x v="5"/>
    <s v="Cairo"/>
    <s v="Lars"/>
    <n v="876"/>
    <n v="876"/>
    <m/>
    <n v="15.2"/>
    <m/>
    <m/>
    <x v="1"/>
    <x v="1"/>
    <n v="0"/>
  </r>
  <r>
    <d v="2018-09-06T00:00:00"/>
    <x v="1"/>
    <s v="S-Town"/>
    <s v="Lars"/>
    <n v="836"/>
    <n v="836"/>
    <m/>
    <n v="11.4"/>
    <m/>
    <m/>
    <x v="0"/>
    <x v="1"/>
    <n v="0"/>
  </r>
  <r>
    <d v="2018-09-06T00:00:00"/>
    <x v="1"/>
    <s v="S-Town"/>
    <s v="Lars"/>
    <n v="449.66699999999997"/>
    <n v="449.66699999999997"/>
    <m/>
    <n v="11.5"/>
    <m/>
    <m/>
    <x v="0"/>
    <x v="1"/>
    <n v="0"/>
  </r>
  <r>
    <d v="2019-10-26T00:00:00"/>
    <x v="2"/>
    <s v="GP MtV"/>
    <s v="Old P"/>
    <n v="1051.43"/>
    <n v="980.46"/>
    <n v="55.2"/>
    <n v="19.2"/>
    <s v="y"/>
    <n v="4.91"/>
    <x v="1"/>
    <x v="2"/>
    <n v="4814.0586000000003"/>
  </r>
  <r>
    <d v="2019-10-26T00:00:00"/>
    <x v="2"/>
    <s v="GP MtV"/>
    <s v="Old P"/>
    <n v="1054.6400000000001"/>
    <n v="999.27"/>
    <n v="56.4"/>
    <n v="18.100000000000001"/>
    <s v="y"/>
    <n v="4.91"/>
    <x v="1"/>
    <x v="2"/>
    <n v="4906.4157000000005"/>
  </r>
  <r>
    <d v="2019-10-26T00:00:00"/>
    <x v="2"/>
    <s v="GP MtV"/>
    <s v="Old P"/>
    <n v="1043.57"/>
    <n v="980.96"/>
    <n v="56"/>
    <n v="18.899999999999999"/>
    <s v="y"/>
    <n v="4.91"/>
    <x v="1"/>
    <x v="2"/>
    <n v="4816.5136000000002"/>
  </r>
  <r>
    <d v="2019-10-26T00:00:00"/>
    <x v="2"/>
    <s v="GP MtV"/>
    <s v="Old P"/>
    <n v="41.82"/>
    <n v="39.31"/>
    <n v="56.2"/>
    <n v="18.8"/>
    <s v="y"/>
    <n v="4.91"/>
    <x v="1"/>
    <x v="2"/>
    <n v="193.0121"/>
  </r>
  <r>
    <d v="2019-10-26T00:00:00"/>
    <x v="2"/>
    <m/>
    <m/>
    <n v="1025.68"/>
    <n v="964.14"/>
    <n v="56.2"/>
    <n v="18.8"/>
    <s v="y"/>
    <n v="4.5175000000000001"/>
    <x v="1"/>
    <x v="2"/>
    <n v="4355.50245"/>
  </r>
  <r>
    <d v="2019-10-26T00:00:00"/>
    <x v="2"/>
    <s v="GP MtV"/>
    <s v="Old P"/>
    <n v="984.64"/>
    <n v="925.56"/>
    <n v="55.1"/>
    <n v="18.8"/>
    <s v="y"/>
    <n v="4.5175000000000001"/>
    <x v="1"/>
    <x v="2"/>
    <n v="4181.2173000000003"/>
  </r>
  <r>
    <d v="2019-10-26T00:00:00"/>
    <x v="2"/>
    <s v="GP MtV"/>
    <s v="Lars"/>
    <n v="940.71"/>
    <n v="891.33"/>
    <n v="54"/>
    <n v="18.399999999999999"/>
    <s v="y"/>
    <n v="4.5175000000000001"/>
    <x v="1"/>
    <x v="2"/>
    <n v="4026.5832750000004"/>
  </r>
  <r>
    <d v="2019-10-26T00:00:00"/>
    <x v="2"/>
    <s v="GP MtV"/>
    <s v="Lars"/>
    <n v="956.07"/>
    <n v="898.71"/>
    <n v="52.9"/>
    <n v="18.600000000000001"/>
    <s v="y"/>
    <n v="4.5175000000000001"/>
    <x v="1"/>
    <x v="2"/>
    <n v="4059.9224250000002"/>
  </r>
  <r>
    <d v="2019-10-26T00:00:00"/>
    <x v="2"/>
    <s v="GP MtV"/>
    <s v="Lars"/>
    <n v="862.86"/>
    <n v="824.03"/>
    <n v="54.9"/>
    <n v="18"/>
    <s v="y"/>
    <n v="4.5175000000000001"/>
    <x v="1"/>
    <x v="2"/>
    <n v="3722.5555249999998"/>
  </r>
  <r>
    <d v="2019-11-01T00:00:00"/>
    <x v="2"/>
    <s v="GP MtV"/>
    <s v="Lars"/>
    <n v="919.64"/>
    <n v="864.46"/>
    <n v="58.2"/>
    <n v="18.8"/>
    <s v="y"/>
    <n v="4.4524999999999997"/>
    <x v="1"/>
    <x v="2"/>
    <n v="3849.0081499999997"/>
  </r>
  <r>
    <d v="2019-11-01T00:00:00"/>
    <x v="2"/>
    <s v="GP MtV"/>
    <s v="Lars"/>
    <n v="877.14"/>
    <n v="824.51"/>
    <n v="57.8"/>
    <n v="18.8"/>
    <s v="y"/>
    <n v="4.4524999999999997"/>
    <x v="1"/>
    <x v="2"/>
    <n v="3671.1307749999996"/>
  </r>
  <r>
    <d v="2019-11-01T00:00:00"/>
    <x v="2"/>
    <s v="GP MtV"/>
    <s v="Lars"/>
    <n v="898.93"/>
    <n v="851.73"/>
    <n v="57.6"/>
    <n v="18.100000000000001"/>
    <s v="y"/>
    <n v="4.4524999999999997"/>
    <x v="1"/>
    <x v="2"/>
    <n v="3792.3278249999998"/>
  </r>
  <r>
    <d v="2019-11-07T00:00:00"/>
    <x v="2"/>
    <s v="GP MtV"/>
    <s v="Lars"/>
    <n v="935.36"/>
    <n v="893.27"/>
    <n v="57.9"/>
    <n v="18"/>
    <s v="y"/>
    <n v="4.45"/>
    <x v="1"/>
    <x v="2"/>
    <n v="3975.0515"/>
  </r>
  <r>
    <d v="2019-11-07T00:00:00"/>
    <x v="2"/>
    <s v="GP MtV"/>
    <s v="Lars"/>
    <n v="926.43"/>
    <n v="884.74"/>
    <n v="57.7"/>
    <n v="17.8"/>
    <s v="y"/>
    <n v="4.45"/>
    <x v="1"/>
    <x v="2"/>
    <n v="3937.0930000000003"/>
  </r>
  <r>
    <d v="2019-11-07T00:00:00"/>
    <x v="2"/>
    <s v="GP MtV"/>
    <s v="Lars"/>
    <n v="942.5"/>
    <n v="900.09"/>
    <n v="57.8"/>
    <n v="17.600000000000001"/>
    <s v="y"/>
    <n v="4.45"/>
    <x v="1"/>
    <x v="2"/>
    <n v="4005.4005000000002"/>
  </r>
  <r>
    <d v="2019-11-21T00:00:00"/>
    <x v="2"/>
    <s v="GP MtV"/>
    <s v="Old P"/>
    <n v="935.71"/>
    <n v="928.7"/>
    <n v="57.9"/>
    <n v="15.4"/>
    <s v="y"/>
    <n v="4.29"/>
    <x v="1"/>
    <x v="2"/>
    <n v="3984.123"/>
  </r>
  <r>
    <d v="2019-11-21T00:00:00"/>
    <x v="2"/>
    <s v="GP MtV"/>
    <s v="Old P"/>
    <n v="703.32"/>
    <n v="692.66"/>
    <n v="55.3"/>
    <n v="15.8"/>
    <s v="y"/>
    <n v="4.29"/>
    <x v="1"/>
    <x v="2"/>
    <n v="2971.5113999999999"/>
  </r>
  <r>
    <d v="2019-11-21T00:00:00"/>
    <x v="2"/>
    <s v="GP MtV"/>
    <s v="Lars"/>
    <n v="956.07"/>
    <n v="934.56"/>
    <n v="58.6"/>
    <n v="16.5"/>
    <s v="y"/>
    <n v="4.29"/>
    <x v="1"/>
    <x v="2"/>
    <n v="4009.2623999999996"/>
  </r>
  <r>
    <d v="2019-11-21T00:00:00"/>
    <x v="2"/>
    <s v="GP MtV"/>
    <s v="Lars"/>
    <n v="941.07"/>
    <n v="926.96"/>
    <n v="57.4"/>
    <n v="15.9"/>
    <s v="y"/>
    <n v="4.29"/>
    <x v="1"/>
    <x v="2"/>
    <n v="3976.6584000000003"/>
  </r>
  <r>
    <d v="2019-11-21T00:00:00"/>
    <x v="2"/>
    <s v="GP MtV"/>
    <s v="Lars"/>
    <n v="895.36"/>
    <n v="881.93"/>
    <n v="57.5"/>
    <n v="15.7"/>
    <s v="y"/>
    <n v="4.29"/>
    <x v="1"/>
    <x v="2"/>
    <n v="3783.4796999999999"/>
  </r>
  <r>
    <d v="2019-09-16T00:00:00"/>
    <x v="6"/>
    <s v="McL"/>
    <s v="Lars"/>
    <n v="1063.5709999999999"/>
    <n v="981.67600000000004"/>
    <m/>
    <n v="20.5"/>
    <m/>
    <m/>
    <x v="1"/>
    <x v="2"/>
    <n v="0"/>
  </r>
  <r>
    <d v="2019-09-16T00:00:00"/>
    <x v="6"/>
    <s v="McL"/>
    <s v="Lars"/>
    <n v="991.07100000000003"/>
    <n v="935.57100000000003"/>
    <m/>
    <n v="18.899999999999999"/>
    <m/>
    <m/>
    <x v="1"/>
    <x v="2"/>
    <n v="0"/>
  </r>
  <r>
    <d v="2019-09-17T00:00:00"/>
    <x v="6"/>
    <s v="McL"/>
    <s v="Lars"/>
    <n v="950.35699999999997"/>
    <n v="897.13699999999994"/>
    <m/>
    <n v="18.7"/>
    <m/>
    <m/>
    <x v="1"/>
    <x v="2"/>
    <n v="0"/>
  </r>
  <r>
    <d v="2019-09-17T00:00:00"/>
    <x v="6"/>
    <s v="S-Town"/>
    <s v="Lars"/>
    <n v="926.07100000000003"/>
    <n v="874.21100000000001"/>
    <m/>
    <n v="19"/>
    <m/>
    <m/>
    <x v="1"/>
    <x v="2"/>
    <n v="0"/>
  </r>
  <r>
    <d v="2019-09-17T00:00:00"/>
    <x v="6"/>
    <s v="S-Town"/>
    <s v="Lars"/>
    <n v="1002.143"/>
    <n v="931.99300000000005"/>
    <m/>
    <n v="19.7"/>
    <m/>
    <m/>
    <x v="1"/>
    <x v="2"/>
    <n v="0"/>
  </r>
  <r>
    <d v="2019-09-17T00:00:00"/>
    <x v="6"/>
    <s v="S-Town"/>
    <s v="Lars"/>
    <n v="1002.857"/>
    <n v="939.67700000000002"/>
    <m/>
    <n v="19.3"/>
    <m/>
    <m/>
    <x v="1"/>
    <x v="2"/>
    <n v="0"/>
  </r>
  <r>
    <d v="2019-09-17T00:00:00"/>
    <x v="6"/>
    <s v="S-Town"/>
    <s v="Lars"/>
    <n v="983.57100000000003"/>
    <n v="935.37599999999998"/>
    <m/>
    <n v="18.3"/>
    <m/>
    <m/>
    <x v="1"/>
    <x v="2"/>
    <n v="0"/>
  </r>
  <r>
    <d v="2019-09-17T00:00:00"/>
    <x v="6"/>
    <s v="McL"/>
    <s v="Lars"/>
    <n v="992.85699999999997"/>
    <n v="944.20699999999999"/>
    <m/>
    <n v="18.399999999999999"/>
    <m/>
    <m/>
    <x v="1"/>
    <x v="2"/>
    <n v="0"/>
  </r>
  <r>
    <d v="2019-09-18T00:00:00"/>
    <x v="6"/>
    <s v="S-Town"/>
    <s v="Lars"/>
    <n v="864.64300000000003"/>
    <n v="810.17"/>
    <m/>
    <n v="19.5"/>
    <m/>
    <m/>
    <x v="1"/>
    <x v="2"/>
    <n v="0"/>
  </r>
  <r>
    <d v="2019-12-02T00:00:00"/>
    <x v="7"/>
    <s v="S-Town"/>
    <s v="Lars"/>
    <n v="898"/>
    <n v="898"/>
    <n v="55.5"/>
    <n v="9.5"/>
    <s v="y"/>
    <n v="9.02"/>
    <x v="0"/>
    <x v="2"/>
    <n v="8099.96"/>
  </r>
  <r>
    <d v="2019-12-19T00:00:00"/>
    <x v="7"/>
    <s v="S-Town"/>
    <s v="Lars"/>
    <n v="905.33299999999997"/>
    <n v="905.33299999999997"/>
    <n v="55.5"/>
    <n v="9.3000000000000007"/>
    <s v="y"/>
    <n v="9.4600000000000009"/>
    <x v="0"/>
    <x v="2"/>
    <n v="8564.4501799999998"/>
  </r>
  <r>
    <d v="2020-01-02T00:00:00"/>
    <x v="7"/>
    <s v="S-Town"/>
    <s v="Lars"/>
    <n v="838.66700000000003"/>
    <n v="838.66700000000003"/>
    <n v="55.3"/>
    <n v="10"/>
    <m/>
    <m/>
    <x v="0"/>
    <x v="2"/>
    <n v="0"/>
  </r>
  <r>
    <d v="2019-10-03T00:00:00"/>
    <x v="0"/>
    <s v="MTV"/>
    <s v="Lars"/>
    <n v="687"/>
    <n v="687"/>
    <n v="54.4"/>
    <n v="10.199999999999999"/>
    <s v="y"/>
    <n v="9.02"/>
    <x v="0"/>
    <x v="2"/>
    <n v="6196.74"/>
  </r>
  <r>
    <d v="2019-12-03T00:00:00"/>
    <x v="0"/>
    <s v="S-Town"/>
    <s v="Lars"/>
    <n v="885.66700000000003"/>
    <n v="883.89599999999996"/>
    <n v="55.2"/>
    <n v="9.6999999999999993"/>
    <s v="y"/>
    <n v="9.02"/>
    <x v="0"/>
    <x v="2"/>
    <n v="7972.7419199999995"/>
  </r>
  <r>
    <d v="2019-12-03T00:00:00"/>
    <x v="0"/>
    <s v="S-Town"/>
    <s v="Lars"/>
    <n v="896"/>
    <n v="891.52"/>
    <n v="55.1"/>
    <n v="9.8000000000000007"/>
    <s v="y"/>
    <n v="9.02"/>
    <x v="0"/>
    <x v="2"/>
    <n v="8041.5103999999992"/>
  </r>
  <r>
    <d v="2019-12-19T00:00:00"/>
    <x v="0"/>
    <s v="S-Town"/>
    <s v="Lars"/>
    <n v="839"/>
    <n v="493.06200000000001"/>
    <n v="54.9"/>
    <n v="10.199999999999999"/>
    <s v="y"/>
    <n v="9.4600000000000009"/>
    <x v="0"/>
    <x v="2"/>
    <n v="4664.3665200000005"/>
  </r>
  <r>
    <d v="2019-12-19T00:00:00"/>
    <x v="0"/>
    <m/>
    <m/>
    <m/>
    <n v="345.93799999999999"/>
    <n v="54.9"/>
    <n v="10.199999999999999"/>
    <s v="y"/>
    <n v="9.49"/>
    <x v="0"/>
    <x v="2"/>
    <n v="3282.9516199999998"/>
  </r>
  <r>
    <d v="2020-01-02T00:00:00"/>
    <x v="0"/>
    <s v="S-Town"/>
    <s v="Lars"/>
    <n v="809.66700000000003"/>
    <n v="809.66700000000003"/>
    <n v="54.6"/>
    <n v="10.4"/>
    <m/>
    <m/>
    <x v="0"/>
    <x v="2"/>
    <n v="0"/>
  </r>
  <r>
    <d v="2019-12-02T00:00:00"/>
    <x v="1"/>
    <s v="S-Town"/>
    <s v="Lars"/>
    <n v="1102.857"/>
    <n v="1102.857"/>
    <n v="61"/>
    <n v="15"/>
    <s v="y"/>
    <n v="4.57"/>
    <x v="1"/>
    <x v="2"/>
    <n v="5040.0564899999999"/>
  </r>
  <r>
    <d v="2019-12-04T00:00:00"/>
    <x v="1"/>
    <s v="S-Town"/>
    <s v="Lars"/>
    <n v="1055"/>
    <n v="1055"/>
    <n v="59.2"/>
    <n v="14.5"/>
    <s v="y"/>
    <n v="4.57"/>
    <x v="1"/>
    <x v="2"/>
    <n v="4821.3500000000004"/>
  </r>
  <r>
    <d v="2019-12-05T00:00:00"/>
    <x v="1"/>
    <s v="S-Town"/>
    <s v="Lars"/>
    <n v="1046.0709999999999"/>
    <n v="1046.0709999999999"/>
    <n v="59.7"/>
    <n v="14.7"/>
    <s v="y"/>
    <n v="4.57"/>
    <x v="1"/>
    <x v="2"/>
    <n v="4780.5444699999998"/>
  </r>
  <r>
    <d v="2020-01-02T00:00:00"/>
    <x v="1"/>
    <s v="S-Town"/>
    <s v="Lars"/>
    <n v="963.92899999999997"/>
    <n v="963.92899999999997"/>
    <n v="60.2"/>
    <n v="14.9"/>
    <m/>
    <m/>
    <x v="1"/>
    <x v="2"/>
    <n v="0"/>
  </r>
  <r>
    <d v="2020-01-02T00:00:00"/>
    <x v="1"/>
    <s v="S-Town"/>
    <s v="Lars"/>
    <n v="943.57100000000003"/>
    <n v="943.57100000000003"/>
    <n v="60.7"/>
    <n v="14.8"/>
    <m/>
    <m/>
    <x v="1"/>
    <x v="2"/>
    <n v="0"/>
  </r>
  <r>
    <d v="2020-01-03T00:00:00"/>
    <x v="1"/>
    <s v="S-Town"/>
    <s v="Lars"/>
    <n v="921.78599999999994"/>
    <n v="915.33299999999997"/>
    <n v="58.7"/>
    <n v="15.3"/>
    <m/>
    <m/>
    <x v="1"/>
    <x v="2"/>
    <n v="0"/>
  </r>
  <r>
    <d v="2020-01-03T00:00:00"/>
    <x v="1"/>
    <s v="S-Town"/>
    <s v="Lars"/>
    <n v="979.64300000000003"/>
    <n v="972.78499999999997"/>
    <n v="59.7"/>
    <n v="15.3"/>
    <m/>
    <m/>
    <x v="1"/>
    <x v="2"/>
    <n v="0"/>
  </r>
  <r>
    <d v="2020-01-03T00:00:00"/>
    <x v="1"/>
    <s v="S-Town"/>
    <s v="Lars"/>
    <n v="925.71400000000006"/>
    <n v="925.71400000000006"/>
    <n v="67.2"/>
    <n v="14"/>
    <m/>
    <m/>
    <x v="1"/>
    <x v="2"/>
    <n v="0"/>
  </r>
  <r>
    <d v="2020-01-03T00:00:00"/>
    <x v="1"/>
    <s v="S-Town"/>
    <s v="Lars"/>
    <n v="946.07100000000003"/>
    <n v="939.44899999999996"/>
    <n v="60.4"/>
    <n v="15.2"/>
    <m/>
    <m/>
    <x v="1"/>
    <x v="2"/>
    <n v="0"/>
  </r>
  <r>
    <d v="2020-01-03T00:00:00"/>
    <x v="1"/>
    <s v="S-Town"/>
    <s v="Lars"/>
    <n v="923.57100000000003"/>
    <n v="923.57100000000003"/>
    <n v="57.2"/>
    <n v="13.7"/>
    <m/>
    <m/>
    <x v="1"/>
    <x v="2"/>
    <n v="0"/>
  </r>
  <r>
    <d v="2020-01-03T00:00:00"/>
    <x v="1"/>
    <s v="S-Town"/>
    <s v="Lars"/>
    <n v="923.57100000000003"/>
    <n v="917.10599999999999"/>
    <n v="60.5"/>
    <n v="15.3"/>
    <m/>
    <m/>
    <x v="1"/>
    <x v="2"/>
    <n v="0"/>
  </r>
  <r>
    <d v="2020-01-03T00:00:00"/>
    <x v="1"/>
    <s v="S-Town"/>
    <s v="Lars"/>
    <n v="923.92899999999997"/>
    <n v="917.46100000000001"/>
    <n v="60.3"/>
    <n v="15.4"/>
    <m/>
    <m/>
    <x v="1"/>
    <x v="2"/>
    <n v="0"/>
  </r>
  <r>
    <d v="2019-10-10T00:00:00"/>
    <x v="5"/>
    <s v="MTV"/>
    <s v="Lars"/>
    <n v="908.33"/>
    <n v="908.33"/>
    <n v="56.2"/>
    <m/>
    <m/>
    <m/>
    <x v="0"/>
    <x v="2"/>
    <n v="0"/>
  </r>
  <r>
    <d v="2019-10-22T00:00:00"/>
    <x v="5"/>
    <s v="MTV"/>
    <s v="Lars"/>
    <n v="848.67"/>
    <n v="848.67"/>
    <n v="56.1"/>
    <n v="11.9"/>
    <m/>
    <m/>
    <x v="0"/>
    <x v="2"/>
    <n v="0"/>
  </r>
  <r>
    <d v="2019-11-14T00:00:00"/>
    <x v="5"/>
    <s v="S-Town"/>
    <s v="Lars"/>
    <n v="876"/>
    <n v="876"/>
    <n v="56.7"/>
    <n v="11.7"/>
    <s v="y"/>
    <n v="9.36"/>
    <x v="0"/>
    <x v="2"/>
    <n v="8199.3599999999988"/>
  </r>
  <r>
    <d v="2019-11-14T00:00:00"/>
    <x v="5"/>
    <s v="S-Town"/>
    <s v="Lars"/>
    <n v="930"/>
    <n v="930"/>
    <n v="57.3"/>
    <n v="11.3"/>
    <s v="y"/>
    <n v="9.36"/>
    <x v="0"/>
    <x v="2"/>
    <n v="8704.7999999999993"/>
  </r>
  <r>
    <d v="2019-11-15T00:00:00"/>
    <x v="5"/>
    <s v="S-Town"/>
    <s v="Lars"/>
    <n v="929"/>
    <n v="929"/>
    <n v="56.5"/>
    <n v="11.3"/>
    <s v="y"/>
    <n v="9.39"/>
    <x v="0"/>
    <x v="2"/>
    <n v="8723.3100000000013"/>
  </r>
  <r>
    <d v="2019-11-15T00:00:00"/>
    <x v="5"/>
    <s v="S-Town"/>
    <s v="Lars"/>
    <n v="919.66700000000003"/>
    <n v="919.66700000000003"/>
    <n v="56.6"/>
    <n v="11.3"/>
    <s v="y"/>
    <n v="9.39"/>
    <x v="0"/>
    <x v="2"/>
    <n v="8635.673130000001"/>
  </r>
  <r>
    <d v="2019-12-12T00:00:00"/>
    <x v="5"/>
    <s v="S-Town"/>
    <s v="Lars"/>
    <n v="929.33299999999997"/>
    <n v="929.33299999999997"/>
    <n v="56.2"/>
    <n v="11.3"/>
    <s v="y"/>
    <n v="9.17"/>
    <x v="0"/>
    <x v="2"/>
    <n v="8521.9836099999993"/>
  </r>
  <r>
    <d v="2019-12-12T00:00:00"/>
    <x v="5"/>
    <s v="S-Town"/>
    <s v="Lars"/>
    <n v="172.06200000000001"/>
    <n v="172.06200000000001"/>
    <n v="56.9"/>
    <n v="11"/>
    <s v="y"/>
    <n v="9.17"/>
    <x v="0"/>
    <x v="2"/>
    <n v="1577.80854"/>
  </r>
  <r>
    <d v="2019-12-12T00:00:00"/>
    <x v="5"/>
    <s v="S-Town"/>
    <s v="Lars"/>
    <m/>
    <n v="795.60500000000002"/>
    <n v="56.9"/>
    <n v="11"/>
    <s v="y"/>
    <n v="9.4600000000000009"/>
    <x v="0"/>
    <x v="2"/>
    <n v="7526.4233000000013"/>
  </r>
  <r>
    <d v="2019-12-18T00:00:00"/>
    <x v="5"/>
    <s v="S-Town"/>
    <s v="Lars"/>
    <n v="945"/>
    <n v="945"/>
    <n v="56.4"/>
    <n v="11"/>
    <s v="y"/>
    <n v="9.4600000000000009"/>
    <x v="0"/>
    <x v="2"/>
    <n v="8939.7000000000007"/>
  </r>
  <r>
    <d v="2019-12-18T00:00:00"/>
    <x v="5"/>
    <s v="S-Town"/>
    <s v="Lars"/>
    <n v="908.66700000000003"/>
    <n v="908.66700000000003"/>
    <n v="56.4"/>
    <n v="11"/>
    <s v="y"/>
    <n v="9.4600000000000009"/>
    <x v="0"/>
    <x v="2"/>
    <n v="8595.9898200000007"/>
  </r>
  <r>
    <d v="2019-12-19T00:00:00"/>
    <x v="5"/>
    <s v="S-Town"/>
    <s v="Lars"/>
    <n v="952.33299999999997"/>
    <n v="952.33299999999997"/>
    <n v="57.1"/>
    <n v="11.2"/>
    <s v="y"/>
    <n v="9.4600000000000009"/>
    <x v="0"/>
    <x v="2"/>
    <n v="9009.0701800000006"/>
  </r>
  <r>
    <d v="2019-12-19T00:00:00"/>
    <x v="5"/>
    <s v="S-Town"/>
    <s v="Lars"/>
    <n v="929.66700000000003"/>
    <n v="929.66700000000003"/>
    <n v="56.7"/>
    <n v="11"/>
    <s v="y"/>
    <n v="9.49"/>
    <x v="0"/>
    <x v="2"/>
    <n v="8822.5398299999997"/>
  </r>
  <r>
    <d v="2019-12-27T00:00:00"/>
    <x v="5"/>
    <s v="S-Town"/>
    <s v="Lars"/>
    <n v="766"/>
    <n v="766"/>
    <n v="52.7"/>
    <n v="12.2"/>
    <s v="y"/>
    <n v="9.5"/>
    <x v="0"/>
    <x v="2"/>
    <n v="7277"/>
  </r>
  <r>
    <d v="2019-12-27T00:00:00"/>
    <x v="5"/>
    <s v="S-Town"/>
    <s v="Lars"/>
    <n v="901"/>
    <n v="901"/>
    <n v="54.9"/>
    <n v="11.7"/>
    <s v="y"/>
    <n v="9.5"/>
    <x v="0"/>
    <x v="2"/>
    <n v="8559.5"/>
  </r>
  <r>
    <d v="2019-12-27T00:00:00"/>
    <x v="5"/>
    <s v="S-Town"/>
    <s v="Lars"/>
    <n v="942.66700000000003"/>
    <n v="942.66700000000003"/>
    <n v="55.2"/>
    <n v="11.7"/>
    <s v="y"/>
    <n v="9.5"/>
    <x v="0"/>
    <x v="2"/>
    <n v="8955.3364999999994"/>
  </r>
  <r>
    <d v="2019-12-27T00:00:00"/>
    <x v="5"/>
    <s v="S-Town"/>
    <s v="Lars"/>
    <n v="920"/>
    <n v="920"/>
    <n v="55.3"/>
    <n v="12"/>
    <s v="y"/>
    <n v="9.5"/>
    <x v="0"/>
    <x v="2"/>
    <n v="8740"/>
  </r>
  <r>
    <d v="2019-12-27T00:00:00"/>
    <x v="5"/>
    <s v="S-Town"/>
    <s v="Lars"/>
    <n v="959.66700000000003"/>
    <n v="959.66700000000003"/>
    <n v="55.2"/>
    <n v="12"/>
    <s v="y"/>
    <n v="9.5"/>
    <x v="0"/>
    <x v="2"/>
    <n v="9116.8364999999994"/>
  </r>
  <r>
    <d v="2019-12-03T00:00:00"/>
    <x v="5"/>
    <s v="S-Town"/>
    <s v="Lars"/>
    <n v="952.66700000000003"/>
    <n v="948.85599999999999"/>
    <n v="56.8"/>
    <n v="12"/>
    <s v="y"/>
    <n v="9.02"/>
    <x v="0"/>
    <x v="2"/>
    <n v="8558.6811199999993"/>
  </r>
  <r>
    <d v="2019-12-03T00:00:00"/>
    <x v="5"/>
    <s v="S-Town"/>
    <s v="Lars"/>
    <n v="918.33299999999997"/>
    <n v="918.33299999999997"/>
    <n v="57.2"/>
    <n v="11.8"/>
    <s v="y"/>
    <n v="9.02"/>
    <x v="0"/>
    <x v="2"/>
    <n v="8283.3636599999991"/>
  </r>
  <r>
    <d v="2019-12-04T00:00:00"/>
    <x v="5"/>
    <s v="S-Town"/>
    <s v="Lars"/>
    <n v="942.66700000000003"/>
    <n v="459.39499999999998"/>
    <n v="57"/>
    <n v="11.7"/>
    <s v="y"/>
    <n v="9.02"/>
    <x v="0"/>
    <x v="2"/>
    <n v="4143.7428999999993"/>
  </r>
  <r>
    <d v="2019-12-04T00:00:00"/>
    <x v="5"/>
    <s v="S-Town"/>
    <s v="Lars"/>
    <m/>
    <n v="483.27199999999999"/>
    <m/>
    <m/>
    <s v="y"/>
    <n v="9.17"/>
    <x v="0"/>
    <x v="2"/>
    <n v="4431.6042399999997"/>
  </r>
  <r>
    <d v="2019-12-04T00:00:00"/>
    <x v="5"/>
    <s v="S-Town"/>
    <s v="Lars"/>
    <n v="932"/>
    <n v="932"/>
    <n v="56.9"/>
    <n v="11.3"/>
    <s v="y"/>
    <n v="9.17"/>
    <x v="0"/>
    <x v="2"/>
    <n v="8546.44"/>
  </r>
  <r>
    <d v="2019-12-04T00:00:00"/>
    <x v="5"/>
    <s v="S-Town"/>
    <s v="Lars"/>
    <n v="1009"/>
    <n v="1009"/>
    <n v="56.5"/>
    <n v="11"/>
    <s v="y"/>
    <n v="9.17"/>
    <x v="0"/>
    <x v="2"/>
    <n v="9252.5300000000007"/>
  </r>
  <r>
    <d v="2019-12-05T00:00:00"/>
    <x v="5"/>
    <s v="S-Town"/>
    <s v="Lars"/>
    <n v="961.33299999999997"/>
    <n v="961.33299999999997"/>
    <n v="56.8"/>
    <n v="11"/>
    <s v="y"/>
    <n v="9.17"/>
    <x v="0"/>
    <x v="2"/>
    <n v="8815.4236099999998"/>
  </r>
  <r>
    <d v="2019-12-05T00:00:00"/>
    <x v="5"/>
    <s v="S-Town"/>
    <s v="Lars"/>
    <n v="986.33299999999997"/>
    <n v="986.33299999999997"/>
    <n v="56.9"/>
    <n v="11"/>
    <s v="y"/>
    <n v="9.17"/>
    <x v="0"/>
    <x v="2"/>
    <n v="9044.6736099999998"/>
  </r>
  <r>
    <d v="2019-12-05T00:00:00"/>
    <x v="5"/>
    <s v="S-Town"/>
    <s v="Lars"/>
    <n v="977.66700000000003"/>
    <n v="977.66700000000003"/>
    <n v="56.6"/>
    <n v="11"/>
    <s v="y"/>
    <n v="9.17"/>
    <x v="0"/>
    <x v="2"/>
    <n v="8965.2063899999994"/>
  </r>
  <r>
    <d v="2019-12-06T00:00:00"/>
    <x v="5"/>
    <s v="S-Town"/>
    <s v="Lars"/>
    <n v="981.33299999999997"/>
    <n v="981.33299999999997"/>
    <n v="56.4"/>
    <n v="11.2"/>
    <s v="y"/>
    <n v="9.17"/>
    <x v="0"/>
    <x v="2"/>
    <n v="8998.8236099999995"/>
  </r>
  <r>
    <d v="2019-12-11T00:00:00"/>
    <x v="5"/>
    <s v="S-Town"/>
    <s v="Lars"/>
    <n v="983.66700000000003"/>
    <n v="983.66700000000003"/>
    <n v="56.9"/>
    <n v="11.2"/>
    <s v="y"/>
    <n v="9.17"/>
    <x v="0"/>
    <x v="2"/>
    <n v="9020.2263899999998"/>
  </r>
  <r>
    <d v="2019-12-11T00:00:00"/>
    <x v="5"/>
    <s v="S-Town"/>
    <s v="Lars"/>
    <n v="974.66700000000003"/>
    <n v="974.66700000000003"/>
    <n v="57"/>
    <n v="11.4"/>
    <s v="y"/>
    <n v="9.17"/>
    <x v="0"/>
    <x v="2"/>
    <n v="8937.696390000001"/>
  </r>
  <r>
    <d v="2019-12-11T00:00:00"/>
    <x v="5"/>
    <s v="S-Town"/>
    <s v="Lars"/>
    <n v="609.33299999999997"/>
    <n v="609.33299999999997"/>
    <n v="56.6"/>
    <n v="11.3"/>
    <s v="y"/>
    <n v="9.17"/>
    <x v="0"/>
    <x v="2"/>
    <n v="5587.5836099999997"/>
  </r>
  <r>
    <d v="2020-09-08T00:00:00"/>
    <x v="4"/>
    <s v="Stown"/>
    <s v="Lars"/>
    <n v="708"/>
    <n v="676.14"/>
    <m/>
    <n v="14.3"/>
    <s v="y"/>
    <n v="9.06"/>
    <x v="0"/>
    <x v="3"/>
    <n v="6125.8284000000003"/>
  </r>
  <r>
    <d v="2020-09-11T00:00:00"/>
    <x v="4"/>
    <s v="Stown"/>
    <s v="Lars"/>
    <n v="803"/>
    <n v="718.68499999999995"/>
    <m/>
    <n v="16.3"/>
    <s v="y"/>
    <n v="9"/>
    <x v="0"/>
    <x v="3"/>
    <n v="6468.1649999999991"/>
  </r>
  <r>
    <d v="2021-01-06T00:00:00"/>
    <x v="4"/>
    <s v="Stown"/>
    <s v="Lars"/>
    <n v="707.66700000000003"/>
    <n v="654.56200000000001"/>
    <m/>
    <n v="15.2"/>
    <s v="y"/>
    <n v="9.1300000000000008"/>
    <x v="0"/>
    <x v="3"/>
    <n v="5976.1510600000011"/>
  </r>
  <r>
    <d v="2021-01-28T00:00:00"/>
    <x v="4"/>
    <s v="Stown"/>
    <s v="Lars"/>
    <n v="748.66700000000003"/>
    <n v="737.43700000000001"/>
    <m/>
    <n v="13.5"/>
    <s v="y"/>
    <n v="13.86"/>
    <x v="0"/>
    <x v="3"/>
    <n v="10220.876819999999"/>
  </r>
  <r>
    <d v="2021-01-28T00:00:00"/>
    <x v="4"/>
    <s v="Stown"/>
    <s v="Lars"/>
    <n v="810"/>
    <n v="797.85"/>
    <m/>
    <n v="13.5"/>
    <s v="y"/>
    <n v="13.86"/>
    <x v="0"/>
    <x v="3"/>
    <n v="11058.200999999999"/>
  </r>
  <r>
    <d v="2021-05-06T00:00:00"/>
    <x v="4"/>
    <s v="Stown"/>
    <s v="Lars"/>
    <n v="709"/>
    <n v="691.27499999999998"/>
    <m/>
    <n v="13"/>
    <m/>
    <n v="16.22"/>
    <x v="0"/>
    <x v="3"/>
    <n v="11212.4805"/>
  </r>
  <r>
    <d v="2021-05-06T00:00:00"/>
    <x v="4"/>
    <s v="added"/>
    <m/>
    <n v="10.742000000000001"/>
    <n v="10.635"/>
    <m/>
    <n v="13"/>
    <m/>
    <n v="16.25"/>
    <x v="0"/>
    <x v="3"/>
    <n v="172.81874999999999"/>
  </r>
  <r>
    <d v="2021-05-06T00:00:00"/>
    <x v="4"/>
    <s v="Stown"/>
    <s v="Lars"/>
    <n v="593.66700000000003"/>
    <n v="108.72499999999999"/>
    <m/>
    <n v="12.3"/>
    <m/>
    <n v="16.22"/>
    <x v="0"/>
    <x v="3"/>
    <n v="1763.5194999999999"/>
  </r>
  <r>
    <d v="2021-02-01T00:00:00"/>
    <x v="2"/>
    <s v="Stown"/>
    <s v="Lars"/>
    <n v="880"/>
    <n v="880"/>
    <n v="58.2"/>
    <n v="11.2"/>
    <s v="y"/>
    <n v="12.18"/>
    <x v="0"/>
    <x v="3"/>
    <n v="10718.4"/>
  </r>
  <r>
    <d v="2021-02-02T00:00:00"/>
    <x v="2"/>
    <s v="Stown"/>
    <s v="Lars"/>
    <n v="898"/>
    <n v="898"/>
    <n v="58"/>
    <n v="11.5"/>
    <s v="y"/>
    <n v="12.18"/>
    <x v="0"/>
    <x v="3"/>
    <n v="10937.64"/>
  </r>
  <r>
    <d v="2021-02-02T00:00:00"/>
    <x v="2"/>
    <s v="Stown"/>
    <s v="Lars"/>
    <n v="852"/>
    <n v="722"/>
    <n v="58.2"/>
    <n v="13"/>
    <s v="y"/>
    <n v="12.18"/>
    <x v="0"/>
    <x v="3"/>
    <n v="8793.9599999999991"/>
  </r>
  <r>
    <d v="2021-02-02T00:00:00"/>
    <x v="2"/>
    <m/>
    <m/>
    <m/>
    <n v="130"/>
    <m/>
    <m/>
    <s v="y"/>
    <n v="14.02"/>
    <x v="0"/>
    <x v="3"/>
    <n v="1822.6"/>
  </r>
  <r>
    <d v="2021-02-03T00:00:00"/>
    <x v="2"/>
    <s v="Stown"/>
    <s v="Lars"/>
    <n v="789"/>
    <n v="789"/>
    <n v="57"/>
    <n v="11.5"/>
    <s v="y"/>
    <n v="14.02"/>
    <x v="0"/>
    <x v="3"/>
    <n v="11061.779999999999"/>
  </r>
  <r>
    <d v="2021-02-03T00:00:00"/>
    <x v="2"/>
    <s v="Stown"/>
    <s v="Lars"/>
    <n v="853.33299999999997"/>
    <n v="81"/>
    <n v="57.3"/>
    <n v="11.5"/>
    <s v="y"/>
    <n v="14.02"/>
    <x v="0"/>
    <x v="3"/>
    <n v="1135.6199999999999"/>
  </r>
  <r>
    <d v="2021-02-03T00:00:00"/>
    <x v="2"/>
    <m/>
    <m/>
    <m/>
    <n v="772.33299999999997"/>
    <m/>
    <m/>
    <s v="y"/>
    <n v="13.92"/>
    <x v="0"/>
    <x v="3"/>
    <n v="10750.87536"/>
  </r>
  <r>
    <d v="2021-02-03T00:00:00"/>
    <x v="2"/>
    <s v="Stown"/>
    <s v="Lars"/>
    <n v="838.33299999999997"/>
    <n v="727.66700000000003"/>
    <n v="56.9"/>
    <n v="11.7"/>
    <s v="y"/>
    <n v="13.92"/>
    <x v="0"/>
    <x v="3"/>
    <n v="10129.12464"/>
  </r>
  <r>
    <d v="2021-02-03T00:00:00"/>
    <x v="2"/>
    <m/>
    <m/>
    <m/>
    <n v="110.666"/>
    <m/>
    <m/>
    <s v="y"/>
    <n v="13.93"/>
    <x v="0"/>
    <x v="3"/>
    <n v="1541.5773799999999"/>
  </r>
  <r>
    <d v="2021-02-03T00:00:00"/>
    <x v="2"/>
    <s v="Stown"/>
    <s v="Lars"/>
    <n v="620.33299999999997"/>
    <n v="620.33299999999997"/>
    <n v="57.1"/>
    <n v="11.9"/>
    <s v="y"/>
    <n v="13.93"/>
    <x v="0"/>
    <x v="3"/>
    <n v="8641.2386900000001"/>
  </r>
  <r>
    <d v="2020-12-02T00:00:00"/>
    <x v="8"/>
    <s v="S-Town"/>
    <s v="Lars"/>
    <n v="929.33299999999997"/>
    <n v="915.39300000000003"/>
    <n v="56"/>
    <n v="13.5"/>
    <s v="y"/>
    <n v="9.82"/>
    <x v="0"/>
    <x v="3"/>
    <n v="8989.1592600000004"/>
  </r>
  <r>
    <d v="2020-12-11T00:00:00"/>
    <x v="8"/>
    <s v="S-Town"/>
    <s v="Lars"/>
    <n v="933.66700000000003"/>
    <n v="890.85699999999997"/>
    <n v="56"/>
    <n v="13.3"/>
    <s v="y"/>
    <n v="10.039999999999999"/>
    <x v="0"/>
    <x v="3"/>
    <n v="8944.2042799999981"/>
  </r>
  <r>
    <d v="2020-12-11T00:00:00"/>
    <x v="8"/>
    <m/>
    <m/>
    <m/>
    <n v="28.805"/>
    <m/>
    <m/>
    <s v="y"/>
    <n v="9.82"/>
    <x v="0"/>
    <x v="3"/>
    <n v="282.86509999999998"/>
  </r>
  <r>
    <d v="2021-01-21T00:00:00"/>
    <x v="8"/>
    <s v="S-Town"/>
    <s v="Lars"/>
    <n v="879.33299999999997"/>
    <n v="879.33299999999997"/>
    <n v="56.5"/>
    <n v="13"/>
    <s v="y"/>
    <n v="10.97"/>
    <x v="0"/>
    <x v="3"/>
    <n v="9646.283010000001"/>
  </r>
  <r>
    <d v="2021-01-21T00:00:00"/>
    <x v="8"/>
    <s v="S-Town"/>
    <s v="Lars"/>
    <n v="866"/>
    <n v="866"/>
    <n v="56.5"/>
    <n v="13"/>
    <s v="y"/>
    <n v="10.97"/>
    <x v="0"/>
    <x v="3"/>
    <n v="9500.02"/>
  </r>
  <r>
    <d v="2021-01-21T00:00:00"/>
    <x v="8"/>
    <s v="S-Town"/>
    <s v="Lars"/>
    <n v="838"/>
    <n v="838"/>
    <n v="55.7"/>
    <n v="12.7"/>
    <s v="y"/>
    <n v="10.97"/>
    <x v="0"/>
    <x v="3"/>
    <n v="9192.86"/>
  </r>
  <r>
    <d v="2021-01-22T00:00:00"/>
    <x v="8"/>
    <s v="S-Town"/>
    <s v="Lars"/>
    <n v="873.66700000000003"/>
    <n v="873.66700000000003"/>
    <n v="55.6"/>
    <n v="12"/>
    <s v="y"/>
    <n v="10.97"/>
    <x v="0"/>
    <x v="3"/>
    <n v="9584.1269900000007"/>
  </r>
  <r>
    <d v="2021-01-22T00:00:00"/>
    <x v="8"/>
    <s v="S-Town"/>
    <s v="Lars"/>
    <n v="847.66700000000003"/>
    <n v="847.66700000000003"/>
    <n v="56.4"/>
    <n v="12.3"/>
    <s v="y"/>
    <n v="10.97"/>
    <x v="0"/>
    <x v="3"/>
    <n v="9298.9069900000013"/>
  </r>
  <r>
    <d v="2021-01-22T00:00:00"/>
    <x v="8"/>
    <s v="S-Town"/>
    <s v="Lars"/>
    <n v="359.66699999999997"/>
    <n v="359.66699999999997"/>
    <n v="56.6"/>
    <n v="12.2"/>
    <s v="y"/>
    <n v="10.97"/>
    <x v="0"/>
    <x v="3"/>
    <n v="3945.5469899999998"/>
  </r>
  <r>
    <d v="2020-10-05T00:00:00"/>
    <x v="0"/>
    <s v="Stown"/>
    <s v="Lars"/>
    <n v="895.66700000000003"/>
    <n v="882.23199999999997"/>
    <n v="55.6"/>
    <n v="13.5"/>
    <s v="y"/>
    <n v="10.3"/>
    <x v="0"/>
    <x v="3"/>
    <n v="9086.9896000000008"/>
  </r>
  <r>
    <d v="2020-10-06T00:00:00"/>
    <x v="0"/>
    <s v="Stown"/>
    <s v="Lars"/>
    <n v="831.33299999999997"/>
    <n v="831.33299999999997"/>
    <n v="55.2"/>
    <n v="13"/>
    <s v="y"/>
    <n v="10.54"/>
    <x v="0"/>
    <x v="3"/>
    <n v="8762.2498199999991"/>
  </r>
  <r>
    <d v="2020-10-07T00:00:00"/>
    <x v="0"/>
    <s v="Stown"/>
    <s v="Lars"/>
    <n v="920.66700000000003"/>
    <n v="920.66700000000003"/>
    <n v="55.4"/>
    <n v="12.9"/>
    <s v="y"/>
    <n v="10.61"/>
    <x v="0"/>
    <x v="3"/>
    <n v="9768.2768699999997"/>
  </r>
  <r>
    <d v="2020-10-08T00:00:00"/>
    <x v="0"/>
    <s v="Stown"/>
    <s v="Lars"/>
    <n v="909.33299999999997"/>
    <n v="909.33299999999997"/>
    <n v="55.4"/>
    <n v="10.9"/>
    <s v="y"/>
    <n v="10.62"/>
    <x v="0"/>
    <x v="3"/>
    <n v="9657.1164599999993"/>
  </r>
  <r>
    <d v="2020-10-09T00:00:00"/>
    <x v="0"/>
    <s v="Stown"/>
    <s v="Lars"/>
    <n v="920.66700000000003"/>
    <n v="920.66700000000003"/>
    <n v="54.8"/>
    <n v="11.8"/>
    <s v="y"/>
    <n v="10.75"/>
    <x v="0"/>
    <x v="3"/>
    <n v="9897.170250000001"/>
  </r>
  <r>
    <d v="2020-10-09T00:00:00"/>
    <x v="0"/>
    <s v="Stown"/>
    <s v="Lars"/>
    <n v="931.33299999999997"/>
    <n v="931.33299999999997"/>
    <n v="56"/>
    <n v="13.2"/>
    <s v="y"/>
    <n v="10.75"/>
    <x v="0"/>
    <x v="3"/>
    <n v="10011.829749999999"/>
  </r>
  <r>
    <d v="2020-12-02T00:00:00"/>
    <x v="0"/>
    <s v="Stown"/>
    <s v="Lars"/>
    <n v="939.33299999999997"/>
    <n v="624.101"/>
    <n v="54.5"/>
    <n v="13.4"/>
    <s v="y"/>
    <n v="9.82"/>
    <x v="0"/>
    <x v="3"/>
    <n v="6128.6718200000005"/>
  </r>
  <r>
    <d v="2020-12-02T00:00:00"/>
    <x v="0"/>
    <m/>
    <m/>
    <m/>
    <n v="301.142"/>
    <n v="54.5"/>
    <n v="13.4"/>
    <s v="y"/>
    <n v="9.3000000000000007"/>
    <x v="0"/>
    <x v="3"/>
    <n v="2800.6206000000002"/>
  </r>
  <r>
    <d v="2020-12-16T00:00:00"/>
    <x v="0"/>
    <s v="Stown"/>
    <s v="Lars"/>
    <n v="909"/>
    <n v="881.495"/>
    <n v="53.4"/>
    <n v="13"/>
    <s v="y"/>
    <n v="9.5150000000000006"/>
    <x v="0"/>
    <x v="3"/>
    <n v="8387.4249250000012"/>
  </r>
  <r>
    <d v="2025-12-16T00:00:00"/>
    <x v="0"/>
    <m/>
    <m/>
    <m/>
    <n v="27.504999999999999"/>
    <m/>
    <m/>
    <s v="y"/>
    <n v="11"/>
    <x v="0"/>
    <x v="3"/>
    <n v="302.55500000000001"/>
  </r>
  <r>
    <d v="1900-01-19T00:00:00"/>
    <x v="0"/>
    <s v="Stown"/>
    <s v="Lars"/>
    <n v="912.66700000000003"/>
    <n v="912.66700000000003"/>
    <n v="55"/>
    <n v="13"/>
    <s v="y"/>
    <n v="9.5150000000000006"/>
    <x v="0"/>
    <x v="3"/>
    <n v="8684.0265050000016"/>
  </r>
  <r>
    <d v="2020-12-16T00:00:00"/>
    <x v="0"/>
    <s v="Stown"/>
    <s v="Lars"/>
    <n v="900.33299999999997"/>
    <n v="900.33299999999997"/>
    <n v="55.3"/>
    <n v="11.8"/>
    <s v="y"/>
    <n v="9.5150000000000006"/>
    <x v="0"/>
    <x v="3"/>
    <n v="8566.6684949999999"/>
  </r>
  <r>
    <d v="2020-12-16T00:00:00"/>
    <x v="0"/>
    <s v="Stown"/>
    <s v="Lars"/>
    <n v="929"/>
    <n v="847.69899999999996"/>
    <n v="56.1"/>
    <n v="12.4"/>
    <s v="y"/>
    <n v="9.5150000000000006"/>
    <x v="0"/>
    <x v="3"/>
    <n v="8065.8559850000001"/>
  </r>
  <r>
    <d v="2020-12-16T00:00:00"/>
    <x v="0"/>
    <m/>
    <m/>
    <m/>
    <n v="81.301000000000002"/>
    <m/>
    <m/>
    <s v="y"/>
    <n v="11"/>
    <x v="0"/>
    <x v="3"/>
    <n v="894.31100000000004"/>
  </r>
  <r>
    <d v="2020-12-17T00:00:00"/>
    <x v="0"/>
    <s v="Stown"/>
    <s v="Lars"/>
    <n v="930.66700000000003"/>
    <n v="847.69899999999996"/>
    <n v="55.3"/>
    <n v="11.2"/>
    <s v="y"/>
    <n v="9.5150000000000006"/>
    <x v="0"/>
    <x v="3"/>
    <n v="8065.8559850000001"/>
  </r>
  <r>
    <d v="2020-12-17T00:00:00"/>
    <x v="0"/>
    <m/>
    <m/>
    <m/>
    <n v="81.301000000000002"/>
    <m/>
    <m/>
    <s v="y"/>
    <n v="11"/>
    <x v="0"/>
    <x v="3"/>
    <n v="894.31100000000004"/>
  </r>
  <r>
    <d v="2021-01-05T00:00:00"/>
    <x v="0"/>
    <s v="Stown"/>
    <s v="Lars"/>
    <n v="838.66700000000003"/>
    <n v="838.66700000000003"/>
    <n v="55.5"/>
    <n v="11.3"/>
    <s v="y"/>
    <n v="9.17"/>
    <x v="0"/>
    <x v="3"/>
    <n v="7690.5763900000002"/>
  </r>
  <r>
    <d v="2021-01-05T00:00:00"/>
    <x v="0"/>
    <s v="Stown"/>
    <s v="Lars"/>
    <n v="841"/>
    <n v="841"/>
    <n v="55.9"/>
    <n v="11.4"/>
    <s v="y"/>
    <n v="9.17"/>
    <x v="0"/>
    <x v="3"/>
    <n v="7711.97"/>
  </r>
  <r>
    <d v="2021-01-06T00:00:00"/>
    <x v="0"/>
    <s v="Stown"/>
    <s v="Lars"/>
    <n v="840"/>
    <n v="840"/>
    <n v="55.7"/>
    <n v="11.3"/>
    <s v="y"/>
    <n v="9.17"/>
    <x v="0"/>
    <x v="3"/>
    <n v="7702.8"/>
  </r>
  <r>
    <d v="2021-01-06T00:00:00"/>
    <x v="0"/>
    <s v="Stown"/>
    <s v="Lars"/>
    <n v="855.66700000000003"/>
    <n v="855.66700000000003"/>
    <n v="55.5"/>
    <n v="11.7"/>
    <s v="y"/>
    <n v="9.17"/>
    <x v="0"/>
    <x v="3"/>
    <n v="7846.4663900000005"/>
  </r>
  <r>
    <d v="2021-01-12T00:00:00"/>
    <x v="0"/>
    <s v="Stown"/>
    <s v="Lars"/>
    <n v="819.66700000000003"/>
    <n v="819.66700000000003"/>
    <n v="56"/>
    <n v="11.7"/>
    <s v="y"/>
    <n v="10.59"/>
    <x v="0"/>
    <x v="3"/>
    <n v="8680.2735300000004"/>
  </r>
  <r>
    <d v="2021-01-12T00:00:00"/>
    <x v="0"/>
    <s v="Stown"/>
    <s v="Lars"/>
    <n v="862"/>
    <n v="862"/>
    <n v="56.2"/>
    <n v="11.9"/>
    <s v="y"/>
    <n v="10.59"/>
    <x v="0"/>
    <x v="3"/>
    <n v="9128.58"/>
  </r>
  <r>
    <d v="2021-01-14T00:00:00"/>
    <x v="0"/>
    <s v="Stown"/>
    <s v="Lars"/>
    <n v="848.33299999999997"/>
    <n v="848.33299999999997"/>
    <n v="54.8"/>
    <n v="12"/>
    <s v="y"/>
    <n v="10.59"/>
    <x v="0"/>
    <x v="3"/>
    <n v="8983.8464700000004"/>
  </r>
  <r>
    <d v="2021-01-15T00:00:00"/>
    <x v="0"/>
    <s v="Stown"/>
    <s v="Lars"/>
    <n v="826.33299999999997"/>
    <n v="826.33299999999997"/>
    <n v="55.1"/>
    <n v="12.2"/>
    <s v="y"/>
    <n v="10.59"/>
    <x v="0"/>
    <x v="3"/>
    <n v="8750.866469999999"/>
  </r>
  <r>
    <d v="2021-01-15T00:00:00"/>
    <x v="0"/>
    <s v="Stown"/>
    <s v="Lars"/>
    <n v="831.66700000000003"/>
    <n v="463.74"/>
    <n v="55.2"/>
    <n v="12.7"/>
    <s v="y"/>
    <n v="10.59"/>
    <x v="0"/>
    <x v="3"/>
    <n v="4911.0065999999997"/>
  </r>
  <r>
    <d v="2021-01-15T00:00:00"/>
    <x v="0"/>
    <m/>
    <m/>
    <m/>
    <n v="367.92700000000002"/>
    <m/>
    <m/>
    <s v="y"/>
    <n v="10.97"/>
    <x v="0"/>
    <x v="3"/>
    <n v="4036.1591900000003"/>
  </r>
  <r>
    <d v="2021-01-15T00:00:00"/>
    <x v="0"/>
    <s v="Stown"/>
    <s v="Lars"/>
    <n v="860.33299999999997"/>
    <n v="860.33299999999997"/>
    <n v="55.5"/>
    <n v="12.7"/>
    <s v="y"/>
    <n v="10.97"/>
    <x v="0"/>
    <x v="3"/>
    <n v="9437.8530100000007"/>
  </r>
  <r>
    <d v="2021-01-26T00:00:00"/>
    <x v="0"/>
    <s v="Stown"/>
    <s v="Lars"/>
    <n v="891"/>
    <n v="642.74"/>
    <n v="55.1"/>
    <n v="12.4"/>
    <s v="y"/>
    <n v="10.97"/>
    <x v="0"/>
    <x v="3"/>
    <n v="7050.8578000000007"/>
  </r>
  <r>
    <d v="2021-01-26T00:00:00"/>
    <x v="0"/>
    <m/>
    <m/>
    <m/>
    <n v="248.26"/>
    <m/>
    <m/>
    <s v="y"/>
    <n v="13.79"/>
    <x v="0"/>
    <x v="3"/>
    <n v="3423.5053999999996"/>
  </r>
  <r>
    <d v="2021-01-26T00:00:00"/>
    <x v="0"/>
    <s v="Stown"/>
    <s v="Lars"/>
    <n v="818.33299999999997"/>
    <n v="818.33299999999997"/>
    <n v="55.2"/>
    <n v="12.3"/>
    <s v="y"/>
    <n v="13.79"/>
    <x v="0"/>
    <x v="3"/>
    <n v="11284.812069999998"/>
  </r>
  <r>
    <d v="2021-01-26T00:00:00"/>
    <x v="0"/>
    <s v="Stown"/>
    <s v="Lars"/>
    <n v="800.33299999999997"/>
    <n v="800.33299999999997"/>
    <n v="54.4"/>
    <n v="12.5"/>
    <s v="y"/>
    <n v="13.79"/>
    <x v="0"/>
    <x v="3"/>
    <n v="11036.592069999999"/>
  </r>
  <r>
    <d v="2020-12-03T00:00:00"/>
    <x v="1"/>
    <s v="Stown"/>
    <s v="Lars"/>
    <n v="908.66700000000003"/>
    <n v="908.66700000000003"/>
    <n v="55.8"/>
    <n v="12.9"/>
    <s v="y"/>
    <n v="9.3000000000000007"/>
    <x v="0"/>
    <x v="3"/>
    <n v="8450.6031000000003"/>
  </r>
  <r>
    <d v="2020-12-04T00:00:00"/>
    <x v="1"/>
    <s v="Stown"/>
    <s v="Lars"/>
    <n v="905"/>
    <n v="905"/>
    <n v="56.4"/>
    <n v="12.5"/>
    <s v="y"/>
    <n v="9.3000000000000007"/>
    <x v="0"/>
    <x v="3"/>
    <n v="8416.5"/>
  </r>
  <r>
    <d v="2020-12-04T00:00:00"/>
    <x v="1"/>
    <s v="Stown"/>
    <s v="Lars"/>
    <n v="892.66700000000003"/>
    <n v="892.66700000000003"/>
    <n v="57.6"/>
    <n v="12.7"/>
    <s v="y"/>
    <n v="9.3000000000000007"/>
    <x v="0"/>
    <x v="3"/>
    <n v="8301.803100000001"/>
  </r>
  <r>
    <d v="2020-12-04T00:00:00"/>
    <x v="1"/>
    <s v="Stown"/>
    <s v="Lars"/>
    <n v="924.33299999999997"/>
    <n v="924.33299999999997"/>
    <n v="56.5"/>
    <n v="12.4"/>
    <s v="y"/>
    <n v="9.3000000000000007"/>
    <x v="0"/>
    <x v="3"/>
    <n v="8596.2969000000012"/>
  </r>
  <r>
    <d v="2020-12-07T00:00:00"/>
    <x v="1"/>
    <s v="Stown"/>
    <s v="Lars"/>
    <n v="941.33299999999997"/>
    <n v="941.33299999999997"/>
    <n v="56"/>
    <n v="12.4"/>
    <s v="y"/>
    <n v="9.3000000000000007"/>
    <x v="0"/>
    <x v="3"/>
    <n v="8754.3968999999997"/>
  </r>
  <r>
    <d v="2020-12-07T00:00:00"/>
    <x v="1"/>
    <s v="Stown"/>
    <s v="Lars"/>
    <n v="947.66700000000003"/>
    <n v="153.52500000000001"/>
    <n v="56.4"/>
    <n v="12"/>
    <s v="y"/>
    <n v="9.3000000000000007"/>
    <x v="0"/>
    <x v="3"/>
    <n v="1427.7825000000003"/>
  </r>
  <r>
    <d v="2020-12-07T00:00:00"/>
    <x v="1"/>
    <m/>
    <m/>
    <m/>
    <n v="794.14200000000005"/>
    <m/>
    <m/>
    <s v="y"/>
    <n v="9.5500000000000007"/>
    <x v="0"/>
    <x v="3"/>
    <n v="7584.0561000000007"/>
  </r>
  <r>
    <d v="2020-12-07T00:00:00"/>
    <x v="1"/>
    <s v="Stown"/>
    <s v="Lars"/>
    <n v="912"/>
    <n v="912"/>
    <n v="56.6"/>
    <n v="12"/>
    <s v="y"/>
    <n v="9.5500000000000007"/>
    <x v="0"/>
    <x v="3"/>
    <n v="8709.6"/>
  </r>
  <r>
    <d v="2020-12-07T00:00:00"/>
    <x v="1"/>
    <s v="Stown"/>
    <s v="Lars"/>
    <n v="917"/>
    <n v="917"/>
    <n v="56.9"/>
    <n v="12"/>
    <s v="y"/>
    <n v="9.5500000000000007"/>
    <x v="0"/>
    <x v="3"/>
    <n v="8757.35"/>
  </r>
  <r>
    <d v="2020-12-07T00:00:00"/>
    <x v="1"/>
    <s v="Stown"/>
    <s v="Lars"/>
    <n v="936"/>
    <n v="936"/>
    <n v="56.6"/>
    <n v="12.2"/>
    <s v="y"/>
    <n v="9.5500000000000007"/>
    <x v="0"/>
    <x v="3"/>
    <n v="8938.8000000000011"/>
  </r>
  <r>
    <d v="2020-12-07T00:00:00"/>
    <x v="1"/>
    <s v="Stown"/>
    <s v="Lars"/>
    <n v="910"/>
    <n v="910"/>
    <n v="56.2"/>
    <n v="12.2"/>
    <s v="y"/>
    <n v="9.5500000000000007"/>
    <x v="0"/>
    <x v="3"/>
    <n v="8690.5"/>
  </r>
  <r>
    <d v="2020-12-08T00:00:00"/>
    <x v="1"/>
    <s v="Stown"/>
    <s v="Lars"/>
    <n v="922.66700000000003"/>
    <n v="922.66700000000003"/>
    <n v="55.8"/>
    <n v="12.4"/>
    <s v="y"/>
    <n v="9.5500000000000007"/>
    <x v="0"/>
    <x v="3"/>
    <n v="8811.4698500000013"/>
  </r>
  <r>
    <d v="2020-12-14T00:00:00"/>
    <x v="1"/>
    <s v="Stown"/>
    <s v="Lars"/>
    <n v="912.66700000000003"/>
    <n v="912.66700000000003"/>
    <n v="56.2"/>
    <n v="13"/>
    <s v="y"/>
    <n v="9.82"/>
    <x v="0"/>
    <x v="3"/>
    <n v="8962.3899400000009"/>
  </r>
  <r>
    <d v="2020-12-14T00:00:00"/>
    <x v="1"/>
    <s v="Stown"/>
    <s v="Lars"/>
    <n v="935"/>
    <n v="935"/>
    <n v="55.6"/>
    <n v="12.8"/>
    <s v="y"/>
    <n v="9.82"/>
    <x v="0"/>
    <x v="3"/>
    <n v="9181.7000000000007"/>
  </r>
  <r>
    <d v="2020-12-14T00:00:00"/>
    <x v="1"/>
    <s v="Stown"/>
    <s v="Lars"/>
    <n v="921"/>
    <n v="921"/>
    <n v="56"/>
    <n v="12.9"/>
    <s v="y"/>
    <n v="9.82"/>
    <x v="0"/>
    <x v="3"/>
    <n v="9044.2200000000012"/>
  </r>
  <r>
    <d v="2020-12-14T00:00:00"/>
    <x v="1"/>
    <s v="Stown"/>
    <s v="Lars"/>
    <n v="933.33299999999997"/>
    <n v="933.33299999999997"/>
    <n v="56.6"/>
    <n v="12.8"/>
    <s v="y"/>
    <n v="9.82"/>
    <x v="0"/>
    <x v="3"/>
    <n v="9165.3300600000002"/>
  </r>
  <r>
    <d v="2020-12-14T00:00:00"/>
    <x v="1"/>
    <s v="Stown"/>
    <s v="Lars"/>
    <n v="909.66700000000003"/>
    <n v="269.19499999999999"/>
    <n v="56"/>
    <n v="12.7"/>
    <s v="y"/>
    <n v="9.82"/>
    <x v="0"/>
    <x v="3"/>
    <n v="2643.4949000000001"/>
  </r>
  <r>
    <d v="2020-12-14T00:00:00"/>
    <x v="1"/>
    <m/>
    <m/>
    <m/>
    <n v="640.47199999999998"/>
    <m/>
    <m/>
    <s v="y"/>
    <n v="10.210000000000001"/>
    <x v="0"/>
    <x v="3"/>
    <n v="6539.2191200000007"/>
  </r>
  <r>
    <d v="2020-12-15T00:00:00"/>
    <x v="1"/>
    <s v="Stown"/>
    <s v="Lars"/>
    <n v="1001.333"/>
    <n v="1001.333"/>
    <n v="55.2"/>
    <n v="13"/>
    <s v="y"/>
    <n v="10.210000000000001"/>
    <x v="0"/>
    <x v="3"/>
    <n v="10223.609930000001"/>
  </r>
  <r>
    <d v="2020-12-15T00:00:00"/>
    <x v="1"/>
    <s v="Stown"/>
    <s v="Lars"/>
    <n v="941"/>
    <n v="941"/>
    <n v="55.3"/>
    <n v="13"/>
    <s v="y"/>
    <n v="10.210000000000001"/>
    <x v="0"/>
    <x v="3"/>
    <n v="9607.61"/>
  </r>
  <r>
    <d v="2020-12-15T00:00:00"/>
    <x v="1"/>
    <s v="Stown"/>
    <s v="Lars"/>
    <n v="961.66700000000003"/>
    <n v="428.52800000000002"/>
    <n v="55.2"/>
    <n v="13"/>
    <s v="y"/>
    <n v="10.210000000000001"/>
    <x v="0"/>
    <x v="3"/>
    <n v="4375.2708800000009"/>
  </r>
  <r>
    <d v="2020-12-15T00:00:00"/>
    <x v="1"/>
    <m/>
    <m/>
    <m/>
    <n v="533.13900000000001"/>
    <m/>
    <m/>
    <s v="y"/>
    <n v="9.5150000000000006"/>
    <x v="0"/>
    <x v="3"/>
    <n v="5072.8175850000007"/>
  </r>
  <r>
    <d v="2020-12-15T00:00:00"/>
    <x v="1"/>
    <s v="Stown"/>
    <s v="Lars"/>
    <n v="924.66700000000003"/>
    <n v="924.66700000000003"/>
    <n v="56.3"/>
    <n v="13"/>
    <s v="y"/>
    <n v="9.5150000000000006"/>
    <x v="0"/>
    <x v="3"/>
    <n v="8798.2065050000001"/>
  </r>
  <r>
    <d v="2020-12-17T00:00:00"/>
    <x v="1"/>
    <s v="Stown"/>
    <s v="Lars"/>
    <n v="956.66700000000003"/>
    <n v="942.31700000000001"/>
    <n v="55.5"/>
    <n v="13.5"/>
    <s v="y"/>
    <n v="11"/>
    <x v="0"/>
    <x v="3"/>
    <n v="10365.487000000001"/>
  </r>
  <r>
    <d v="2020-12-18T00:00:00"/>
    <x v="1"/>
    <s v="Stown"/>
    <s v="Lars"/>
    <n v="946.33299999999997"/>
    <n v="946.33299999999997"/>
    <n v="55"/>
    <n v="13"/>
    <s v="y"/>
    <n v="11"/>
    <x v="0"/>
    <x v="3"/>
    <n v="10409.663"/>
  </r>
  <r>
    <d v="2020-12-21T00:00:00"/>
    <x v="1"/>
    <s v="Stown"/>
    <s v="Lars"/>
    <n v="1002.333"/>
    <n v="325.54199999999997"/>
    <n v="55.1"/>
    <n v="13"/>
    <s v="y"/>
    <n v="11"/>
    <x v="0"/>
    <x v="3"/>
    <n v="3580.9619999999995"/>
  </r>
  <r>
    <d v="2020-12-21T00:00:00"/>
    <x v="1"/>
    <m/>
    <m/>
    <m/>
    <n v="676.79100000000005"/>
    <m/>
    <m/>
    <s v="y"/>
    <n v="12.62"/>
    <x v="0"/>
    <x v="3"/>
    <n v="8541.1024199999993"/>
  </r>
  <r>
    <d v="2020-12-21T00:00:00"/>
    <x v="1"/>
    <s v="Stown"/>
    <s v="Lars"/>
    <n v="950.66700000000003"/>
    <n v="950.66700000000003"/>
    <n v="55.1"/>
    <n v="13"/>
    <s v="y"/>
    <n v="12.62"/>
    <x v="0"/>
    <x v="3"/>
    <n v="11997.41754"/>
  </r>
  <r>
    <d v="2020-12-21T00:00:00"/>
    <x v="1"/>
    <s v="Stown"/>
    <s v="Lars"/>
    <n v="1004.333"/>
    <n v="1004.333"/>
    <n v="55.7"/>
    <n v="12.5"/>
    <s v="y"/>
    <n v="12.62"/>
    <x v="0"/>
    <x v="3"/>
    <n v="12674.682459999998"/>
  </r>
  <r>
    <d v="2020-09-12T00:00:00"/>
    <x v="9"/>
    <s v="Popcorn Plant"/>
    <s v="Lars"/>
    <n v="950"/>
    <n v="950"/>
    <m/>
    <n v="18"/>
    <m/>
    <m/>
    <x v="1"/>
    <x v="3"/>
    <n v="0"/>
  </r>
  <r>
    <d v="2020-09-18T00:00:00"/>
    <x v="5"/>
    <s v="STown "/>
    <s v="Lars "/>
    <n v="853.33299999999997"/>
    <n v="853.33299999999997"/>
    <n v="56.5"/>
    <n v="12.7"/>
    <s v="y"/>
    <n v="9"/>
    <x v="0"/>
    <x v="3"/>
    <n v="7679.9969999999994"/>
  </r>
  <r>
    <d v="2020-09-18T00:00:00"/>
    <x v="5"/>
    <s v="STown "/>
    <s v="Lars "/>
    <n v="892.66700000000003"/>
    <n v="892.66700000000003"/>
    <n v="56.6"/>
    <n v="13"/>
    <s v="y"/>
    <n v="9"/>
    <x v="0"/>
    <x v="3"/>
    <n v="8034.0030000000006"/>
  </r>
  <r>
    <d v="2020-09-19T00:00:00"/>
    <x v="5"/>
    <s v="STown "/>
    <s v="Lars "/>
    <n v="849.33299999999997"/>
    <n v="849.33299999999997"/>
    <n v="56.1"/>
    <n v="12.8"/>
    <s v="y"/>
    <n v="9"/>
    <x v="0"/>
    <x v="3"/>
    <n v="7643.9969999999994"/>
  </r>
  <r>
    <d v="2020-09-19T00:00:00"/>
    <x v="5"/>
    <s v="STown "/>
    <s v="Lars "/>
    <n v="977"/>
    <n v="977"/>
    <n v="56.4"/>
    <n v="12.4"/>
    <s v="y"/>
    <n v="9"/>
    <x v="0"/>
    <x v="3"/>
    <n v="8793"/>
  </r>
  <r>
    <d v="2020-09-21T00:00:00"/>
    <x v="5"/>
    <s v="STown "/>
    <s v="Lars "/>
    <n v="961.33299999999997"/>
    <n v="760.2"/>
    <n v="56.2"/>
    <n v="10.9"/>
    <s v="y"/>
    <n v="9"/>
    <x v="0"/>
    <x v="3"/>
    <n v="6841.8"/>
  </r>
  <r>
    <d v="2020-09-21T00:00:00"/>
    <x v="5"/>
    <m/>
    <m/>
    <m/>
    <n v="201.01329999999999"/>
    <m/>
    <m/>
    <s v="y"/>
    <n v="10.26"/>
    <x v="0"/>
    <x v="3"/>
    <n v="2062.3964579999997"/>
  </r>
  <r>
    <d v="2020-12-02T00:00:00"/>
    <x v="5"/>
    <s v="STown "/>
    <s v="Lars "/>
    <n v="965.33299999999997"/>
    <n v="960.50599999999997"/>
    <n v="56.1"/>
    <n v="11.74"/>
    <s v="y"/>
    <n v="9.82"/>
    <x v="0"/>
    <x v="3"/>
    <n v="9432.1689200000001"/>
  </r>
  <r>
    <d v="2020-12-03T00:00:00"/>
    <x v="5"/>
    <s v="STown "/>
    <s v="Lars "/>
    <n v="973.33299999999997"/>
    <n v="973.33299999999997"/>
    <n v="55.5"/>
    <n v="11.3"/>
    <s v="y"/>
    <n v="9.3000000000000007"/>
    <x v="0"/>
    <x v="3"/>
    <n v="9051.9969000000001"/>
  </r>
  <r>
    <d v="2020-12-11T00:00:00"/>
    <x v="5"/>
    <s v="STown "/>
    <s v="Lars "/>
    <n v="958"/>
    <n v="958"/>
    <n v="55.2"/>
    <n v="11"/>
    <s v="y"/>
    <n v="10.039999999999999"/>
    <x v="0"/>
    <x v="3"/>
    <n v="9618.32"/>
  </r>
  <r>
    <d v="2020-12-15T00:00:00"/>
    <x v="5"/>
    <s v="STown "/>
    <s v="Lars "/>
    <n v="988.66700000000003"/>
    <n v="988.66700000000003"/>
    <n v="55.5"/>
    <n v="10.9"/>
    <s v="y"/>
    <n v="10.210000000000001"/>
    <x v="0"/>
    <x v="3"/>
    <n v="10094.290070000001"/>
  </r>
  <r>
    <d v="2020-12-17T00:00:00"/>
    <x v="5"/>
    <s v="STown "/>
    <s v="Lars "/>
    <n v="971.66700000000003"/>
    <n v="971.66700000000003"/>
    <n v="55.5"/>
    <n v="11"/>
    <s v="y"/>
    <n v="11"/>
    <x v="0"/>
    <x v="3"/>
    <n v="10688.337"/>
  </r>
  <r>
    <d v="2020-12-17T00:00:00"/>
    <x v="5"/>
    <s v="STown "/>
    <s v="Lars "/>
    <n v="942.66700000000003"/>
    <n v="942.66700000000003"/>
    <n v="55.3"/>
    <n v="11"/>
    <s v="y"/>
    <n v="11"/>
    <x v="0"/>
    <x v="3"/>
    <n v="10369.337"/>
  </r>
  <r>
    <d v="2020-12-18T00:00:00"/>
    <x v="5"/>
    <s v="STown "/>
    <s v="Lars "/>
    <n v="956.66700000000003"/>
    <n v="956.66700000000003"/>
    <n v="54.5"/>
    <n v="11.7"/>
    <s v="y"/>
    <n v="11"/>
    <x v="0"/>
    <x v="3"/>
    <n v="10523.337"/>
  </r>
  <r>
    <d v="2020-12-18T00:00:00"/>
    <x v="5"/>
    <s v="STown "/>
    <s v="Lars "/>
    <n v="960.66700000000003"/>
    <n v="785.95299999999997"/>
    <n v="55.5"/>
    <n v="11.3"/>
    <s v="y"/>
    <n v="11"/>
    <x v="0"/>
    <x v="3"/>
    <n v="8645.4830000000002"/>
  </r>
  <r>
    <d v="2020-12-18T00:00:00"/>
    <x v="5"/>
    <m/>
    <m/>
    <m/>
    <n v="174.714"/>
    <m/>
    <m/>
    <s v="y"/>
    <n v="11"/>
    <x v="0"/>
    <x v="3"/>
    <n v="1921.854"/>
  </r>
  <r>
    <d v="2020-12-18T00:00:00"/>
    <x v="5"/>
    <s v="STown "/>
    <s v="Lars "/>
    <n v="960"/>
    <n v="960"/>
    <n v="54.2"/>
    <n v="11.5"/>
    <s v="y"/>
    <n v="11"/>
    <x v="0"/>
    <x v="3"/>
    <n v="10560"/>
  </r>
  <r>
    <d v="2020-12-18T00:00:00"/>
    <x v="5"/>
    <s v="STown "/>
    <s v="Lars "/>
    <n v="954.66700000000003"/>
    <n v="954.66700000000003"/>
    <n v="55.2"/>
    <n v="11.7"/>
    <s v="y"/>
    <n v="11"/>
    <x v="0"/>
    <x v="3"/>
    <n v="10501.337"/>
  </r>
  <r>
    <d v="2021-01-07T00:00:00"/>
    <x v="5"/>
    <s v="STown "/>
    <s v="Lars "/>
    <n v="917.66700000000003"/>
    <n v="917.66700000000003"/>
    <n v="55.8"/>
    <n v="11.9"/>
    <s v="y"/>
    <n v="9.1300000000000008"/>
    <x v="0"/>
    <x v="3"/>
    <n v="8378.2997100000011"/>
  </r>
  <r>
    <d v="2021-01-07T00:00:00"/>
    <x v="5"/>
    <s v="STown "/>
    <s v="Lars "/>
    <n v="901"/>
    <n v="52.406999999999996"/>
    <n v="55.7"/>
    <n v="12"/>
    <s v="y"/>
    <n v="9.1300000000000008"/>
    <x v="0"/>
    <x v="3"/>
    <n v="478.47591"/>
  </r>
  <r>
    <d v="2021-01-07T00:00:00"/>
    <x v="5"/>
    <m/>
    <m/>
    <m/>
    <n v="848.59299999999996"/>
    <m/>
    <m/>
    <s v="y"/>
    <n v="9.34"/>
    <x v="0"/>
    <x v="3"/>
    <n v="7925.8586199999991"/>
  </r>
  <r>
    <d v="2021-01-11T00:00:00"/>
    <x v="5"/>
    <s v="STown "/>
    <s v="Lars "/>
    <n v="850"/>
    <n v="850"/>
    <n v="55"/>
    <n v="12.2"/>
    <s v="y"/>
    <n v="9.34"/>
    <x v="0"/>
    <x v="3"/>
    <n v="7939"/>
  </r>
  <r>
    <d v="2021-01-11T00:00:00"/>
    <x v="5"/>
    <s v="STown "/>
    <s v="Lars "/>
    <n v="846.66700000000003"/>
    <n v="846.66700000000003"/>
    <n v="55.7"/>
    <n v="12.3"/>
    <s v="y"/>
    <n v="9.34"/>
    <x v="0"/>
    <x v="3"/>
    <n v="7907.86978"/>
  </r>
  <r>
    <d v="2021-01-11T00:00:00"/>
    <x v="5"/>
    <s v="STown "/>
    <s v="Lars "/>
    <n v="816.66700000000003"/>
    <n v="816.66700000000003"/>
    <n v="55.2"/>
    <n v="12.2"/>
    <s v="y"/>
    <n v="9.34"/>
    <x v="0"/>
    <x v="3"/>
    <n v="7627.6697800000002"/>
  </r>
  <r>
    <d v="2021-01-12T00:00:00"/>
    <x v="5"/>
    <s v="STown "/>
    <s v="Lars "/>
    <n v="818"/>
    <n v="638.07299999999998"/>
    <n v="55.5"/>
    <n v="12.2"/>
    <s v="y"/>
    <n v="9.34"/>
    <x v="0"/>
    <x v="3"/>
    <n v="5959.6018199999999"/>
  </r>
  <r>
    <d v="2021-01-12T00:00:00"/>
    <x v="5"/>
    <m/>
    <m/>
    <m/>
    <n v="179.92699999999999"/>
    <m/>
    <m/>
    <s v="y"/>
    <n v="10.59"/>
    <x v="0"/>
    <x v="3"/>
    <n v="1905.4269299999999"/>
  </r>
  <r>
    <d v="2021-01-21T00:00:00"/>
    <x v="5"/>
    <s v="STown "/>
    <s v="Lars "/>
    <n v="812.33299999999997"/>
    <n v="812.33299999999997"/>
    <n v="54.4"/>
    <n v="12.3"/>
    <s v="y"/>
    <n v="10.97"/>
    <x v="0"/>
    <x v="3"/>
    <n v="8911.2930099999994"/>
  </r>
  <r>
    <d v="2021-01-22T00:00:00"/>
    <x v="5"/>
    <s v="STown "/>
    <s v="Lars "/>
    <n v="652.33299999999997"/>
    <n v="652.33299999999997"/>
    <n v="55.8"/>
    <n v="11.8"/>
    <s v="y"/>
    <n v="10.97"/>
    <x v="0"/>
    <x v="3"/>
    <n v="7156.0930100000005"/>
  </r>
  <r>
    <d v="2020-09-10T00:00:00"/>
    <x v="6"/>
    <s v="Stown"/>
    <s v="Lars"/>
    <n v="857"/>
    <n v="857"/>
    <n v="55.5"/>
    <n v="12.8"/>
    <s v="y"/>
    <n v="9"/>
    <x v="0"/>
    <x v="3"/>
    <n v="7713"/>
  </r>
  <r>
    <d v="2020-09-10T00:00:00"/>
    <x v="6"/>
    <s v="Stown"/>
    <s v="Lars"/>
    <n v="872.33299999999997"/>
    <n v="872.33299999999997"/>
    <n v="56.2"/>
    <n v="12.3"/>
    <s v="y"/>
    <n v="9"/>
    <x v="0"/>
    <x v="3"/>
    <n v="7850.9969999999994"/>
  </r>
  <r>
    <d v="2020-09-11T00:00:00"/>
    <x v="6"/>
    <s v="Stown"/>
    <s v="Lars"/>
    <n v="764"/>
    <n v="764"/>
    <n v="55.5"/>
    <n v="13"/>
    <s v="y"/>
    <n v="9"/>
    <x v="0"/>
    <x v="3"/>
    <n v="6876"/>
  </r>
  <r>
    <d v="2020-09-11T00:00:00"/>
    <x v="6"/>
    <s v="Stown"/>
    <s v="Lars"/>
    <n v="442.66699999999997"/>
    <n v="442.66699999999997"/>
    <n v="55.3"/>
    <n v="11.8"/>
    <s v="y"/>
    <n v="9"/>
    <x v="0"/>
    <x v="3"/>
    <n v="3984.0029999999997"/>
  </r>
  <r>
    <d v="2021-11-30T00:00:00"/>
    <x v="3"/>
    <s v="Stown"/>
    <s v="Lars"/>
    <n v="882.67"/>
    <n v="882.67"/>
    <n v="54.1"/>
    <n v="11.8"/>
    <s v="y"/>
    <n v="12.45"/>
    <x v="0"/>
    <x v="4"/>
    <n v="10989.241499999998"/>
  </r>
  <r>
    <d v="2021-11-30T00:00:00"/>
    <x v="3"/>
    <s v="Stown"/>
    <s v="Lars"/>
    <n v="900"/>
    <n v="900"/>
    <n v="55.4"/>
    <n v="11.7"/>
    <s v="y"/>
    <n v="12.45"/>
    <x v="0"/>
    <x v="4"/>
    <n v="11205"/>
  </r>
  <r>
    <d v="2021-11-30T00:00:00"/>
    <x v="3"/>
    <s v="Stown"/>
    <s v="Lars"/>
    <n v="917.33"/>
    <n v="217.33"/>
    <n v="55.4"/>
    <n v="11.3"/>
    <s v="y"/>
    <n v="12.45"/>
    <x v="0"/>
    <x v="4"/>
    <n v="2705.7584999999999"/>
  </r>
  <r>
    <d v="2021-11-30T00:00:00"/>
    <x v="3"/>
    <m/>
    <m/>
    <m/>
    <n v="700"/>
    <m/>
    <m/>
    <s v="y"/>
    <n v="12.98"/>
    <x v="0"/>
    <x v="4"/>
    <n v="9086"/>
  </r>
  <r>
    <d v="2021-11-30T00:00:00"/>
    <x v="3"/>
    <s v="Stown"/>
    <s v="Lars"/>
    <n v="922.67"/>
    <n v="800"/>
    <n v="54.3"/>
    <n v="11"/>
    <s v="y"/>
    <n v="12.98"/>
    <x v="0"/>
    <x v="4"/>
    <n v="10384"/>
  </r>
  <r>
    <d v="2021-11-30T00:00:00"/>
    <x v="3"/>
    <m/>
    <m/>
    <m/>
    <n v="122.67"/>
    <m/>
    <m/>
    <s v="y"/>
    <n v="14.52"/>
    <x v="0"/>
    <x v="4"/>
    <n v="1781.1684"/>
  </r>
  <r>
    <d v="2021-12-01T00:00:00"/>
    <x v="3"/>
    <s v="Stown"/>
    <s v="Lars"/>
    <n v="905.67"/>
    <n v="905.67"/>
    <n v="54.5"/>
    <n v="11.2"/>
    <s v="y"/>
    <n v="14.52"/>
    <x v="0"/>
    <x v="4"/>
    <n v="13150.328399999999"/>
  </r>
  <r>
    <d v="2021-12-01T00:00:00"/>
    <x v="3"/>
    <s v="Stown"/>
    <s v="Lars"/>
    <n v="907.33"/>
    <n v="907.33"/>
    <n v="54.9"/>
    <n v="11.3"/>
    <s v="y"/>
    <n v="14.52"/>
    <x v="0"/>
    <x v="4"/>
    <n v="13174.4316"/>
  </r>
  <r>
    <d v="2021-12-02T00:00:00"/>
    <x v="3"/>
    <s v="Stown"/>
    <s v="Lars"/>
    <n v="797"/>
    <n v="797"/>
    <n v="54.9"/>
    <n v="12.5"/>
    <s v="y"/>
    <n v="14.52"/>
    <x v="0"/>
    <x v="4"/>
    <n v="11572.44"/>
  </r>
  <r>
    <d v="2021-12-03T00:00:00"/>
    <x v="3"/>
    <s v="Stown"/>
    <s v="Lars"/>
    <n v="928.33"/>
    <n v="579.33000000000004"/>
    <n v="54.2"/>
    <n v="12.7"/>
    <s v="y"/>
    <n v="14.52"/>
    <x v="0"/>
    <x v="4"/>
    <n v="8411.8716000000004"/>
  </r>
  <r>
    <d v="2021-12-03T00:00:00"/>
    <x v="3"/>
    <m/>
    <m/>
    <m/>
    <n v="342.34"/>
    <m/>
    <m/>
    <s v="y"/>
    <n v="13.04"/>
    <x v="0"/>
    <x v="4"/>
    <n v="4464.1135999999997"/>
  </r>
  <r>
    <d v="2021-12-15T00:00:00"/>
    <x v="3"/>
    <s v="Stown"/>
    <s v="Lars"/>
    <n v="266.33"/>
    <n v="166.33"/>
    <n v="53.9"/>
    <n v="12.9"/>
    <s v="y"/>
    <n v="13.04"/>
    <x v="0"/>
    <x v="4"/>
    <n v="2168.9432000000002"/>
  </r>
  <r>
    <d v="2021-09-29T00:00:00"/>
    <x v="3"/>
    <s v="Viserion"/>
    <s v="Josh"/>
    <n v="1193.57"/>
    <n v="1193.57"/>
    <n v="61.5"/>
    <n v="14.8"/>
    <s v="y"/>
    <n v="5.14"/>
    <x v="1"/>
    <x v="4"/>
    <n v="6134.9497999999994"/>
  </r>
  <r>
    <d v="2021-09-30T00:00:00"/>
    <x v="3"/>
    <s v="Viserion"/>
    <s v="Josh"/>
    <n v="1068.21"/>
    <n v="1053.26"/>
    <n v="62"/>
    <n v="15.7"/>
    <s v="y"/>
    <n v="5.17"/>
    <x v="1"/>
    <x v="4"/>
    <n v="5445.3541999999998"/>
  </r>
  <r>
    <d v="2021-09-30T00:00:00"/>
    <x v="3"/>
    <s v="Viserion"/>
    <s v="Josh"/>
    <n v="1054.6400000000001"/>
    <n v="1047.26"/>
    <n v="62.1"/>
    <n v="15.4"/>
    <s v="y"/>
    <n v="5.17"/>
    <x v="1"/>
    <x v="4"/>
    <n v="5414.3342000000002"/>
  </r>
  <r>
    <d v="2021-09-13T00:00:00"/>
    <x v="4"/>
    <s v="Stown"/>
    <s v="Lars"/>
    <n v="1049.6400000000001"/>
    <n v="968.82"/>
    <m/>
    <n v="20.399999999999999"/>
    <s v="y"/>
    <n v="5.68"/>
    <x v="2"/>
    <x v="4"/>
    <n v="5502.8976000000002"/>
  </r>
  <r>
    <d v="2021-09-13T00:00:00"/>
    <x v="4"/>
    <s v="Stown"/>
    <s v="Lars"/>
    <n v="1068.21"/>
    <n v="956.05"/>
    <m/>
    <n v="22.2"/>
    <s v="y"/>
    <n v="5.68"/>
    <x v="2"/>
    <x v="4"/>
    <n v="5430.3639999999996"/>
  </r>
  <r>
    <d v="2021-09-13T00:00:00"/>
    <x v="4"/>
    <s v="Stown"/>
    <s v="Lars"/>
    <n v="847.5"/>
    <n v="758.51"/>
    <m/>
    <n v="22.4"/>
    <s v="y"/>
    <n v="5.68"/>
    <x v="2"/>
    <x v="4"/>
    <n v="4308.3368"/>
  </r>
  <r>
    <d v="2021-09-14T00:00:00"/>
    <x v="4"/>
    <s v="Stown"/>
    <s v="Lars"/>
    <n v="963.21"/>
    <n v="889.04"/>
    <m/>
    <n v="20.5"/>
    <s v="y"/>
    <n v="5.68"/>
    <x v="2"/>
    <x v="4"/>
    <n v="5049.7471999999998"/>
  </r>
  <r>
    <d v="2021-09-14T00:00:00"/>
    <x v="4"/>
    <s v="Stown"/>
    <s v="Lars"/>
    <n v="938.57"/>
    <n v="521.71"/>
    <m/>
    <n v="20"/>
    <s v="y"/>
    <n v="5.68"/>
    <x v="2"/>
    <x v="4"/>
    <n v="2963.3128000000002"/>
  </r>
  <r>
    <d v="2021-09-14T00:00:00"/>
    <x v="4"/>
    <s v="Stown"/>
    <s v="Lars"/>
    <m/>
    <n v="351.16"/>
    <m/>
    <n v="20"/>
    <s v="y"/>
    <n v="5"/>
    <x v="2"/>
    <x v="4"/>
    <n v="1755.8000000000002"/>
  </r>
  <r>
    <d v="2021-09-20T00:00:00"/>
    <x v="4"/>
    <s v="Stown"/>
    <s v="Todd"/>
    <n v="1018.21"/>
    <n v="939.81"/>
    <m/>
    <n v="20.2"/>
    <s v="y"/>
    <n v="5"/>
    <x v="2"/>
    <x v="4"/>
    <n v="4699.0499999999993"/>
  </r>
  <r>
    <d v="2021-09-20T00:00:00"/>
    <x v="4"/>
    <s v="Stown"/>
    <s v="Todd"/>
    <n v="1155.3599999999999"/>
    <n v="1074.48"/>
    <m/>
    <n v="20"/>
    <s v="y"/>
    <n v="5"/>
    <x v="2"/>
    <x v="4"/>
    <n v="5372.4"/>
  </r>
  <r>
    <d v="2021-09-20T00:00:00"/>
    <x v="4"/>
    <s v="Stown"/>
    <s v="Todd"/>
    <n v="1082.5"/>
    <n v="1006.72"/>
    <m/>
    <n v="20"/>
    <s v="y"/>
    <n v="5"/>
    <x v="2"/>
    <x v="4"/>
    <n v="5033.6000000000004"/>
  </r>
  <r>
    <d v="2021-09-20T00:00:00"/>
    <x v="4"/>
    <s v="Stown"/>
    <s v="Todd"/>
    <n v="1082.8599999999999"/>
    <n v="627.83000000000004"/>
    <m/>
    <n v="20.399999999999999"/>
    <s v="y"/>
    <n v="5"/>
    <x v="2"/>
    <x v="4"/>
    <n v="3139.15"/>
  </r>
  <r>
    <d v="2021-09-20T00:00:00"/>
    <x v="4"/>
    <s v="Stown"/>
    <s v="Todd"/>
    <m/>
    <n v="371.65"/>
    <m/>
    <n v="20.399999999999999"/>
    <s v="y"/>
    <n v="5.98"/>
    <x v="2"/>
    <x v="4"/>
    <n v="2222.4670000000001"/>
  </r>
  <r>
    <d v="2021-09-20T00:00:00"/>
    <x v="4"/>
    <s v="Stown"/>
    <s v="Todd"/>
    <n v="1116.43"/>
    <n v="1038.28"/>
    <m/>
    <n v="19.899999999999999"/>
    <s v="y"/>
    <n v="5.98"/>
    <x v="2"/>
    <x v="4"/>
    <n v="6208.9144000000006"/>
  </r>
  <r>
    <d v="2021-09-20T00:00:00"/>
    <x v="4"/>
    <s v="Stown"/>
    <s v="Todd"/>
    <n v="1135.71"/>
    <n v="1048.26"/>
    <m/>
    <n v="20.3"/>
    <s v="y"/>
    <n v="5.98"/>
    <x v="2"/>
    <x v="4"/>
    <n v="6268.5948000000008"/>
  </r>
  <r>
    <d v="2021-09-20T00:00:00"/>
    <x v="4"/>
    <s v="Stown"/>
    <s v="Todd"/>
    <n v="1010.36"/>
    <n v="939.63"/>
    <m/>
    <n v="20"/>
    <s v="y"/>
    <n v="5.98"/>
    <x v="2"/>
    <x v="4"/>
    <n v="5618.9874"/>
  </r>
  <r>
    <d v="2021-09-20T00:00:00"/>
    <x v="4"/>
    <s v="Stown"/>
    <s v="Josh"/>
    <n v="1093.57"/>
    <n v="1039.99"/>
    <m/>
    <n v="18.5"/>
    <s v="y"/>
    <n v="5.98"/>
    <x v="2"/>
    <x v="4"/>
    <n v="6219.1402000000007"/>
  </r>
  <r>
    <d v="2021-09-21T00:00:00"/>
    <x v="4"/>
    <s v="Stown"/>
    <s v="Todd"/>
    <n v="1167.5"/>
    <n v="1093.95"/>
    <m/>
    <n v="19.399999999999999"/>
    <s v="y"/>
    <n v="5.98"/>
    <x v="2"/>
    <x v="4"/>
    <n v="6541.8210000000008"/>
  </r>
  <r>
    <d v="2021-09-21T00:00:00"/>
    <x v="4"/>
    <s v="Stown"/>
    <s v="Josh"/>
    <n v="1053.21"/>
    <n v="468.24"/>
    <m/>
    <n v="19"/>
    <s v="y"/>
    <n v="5.98"/>
    <x v="2"/>
    <x v="4"/>
    <n v="2800.0752000000002"/>
  </r>
  <r>
    <d v="2021-09-21T00:00:00"/>
    <x v="4"/>
    <s v="Stown"/>
    <s v="Josh"/>
    <m/>
    <n v="525.99"/>
    <m/>
    <n v="19"/>
    <s v="y"/>
    <n v="4.97"/>
    <x v="2"/>
    <x v="4"/>
    <n v="2614.1702999999998"/>
  </r>
  <r>
    <d v="2021-09-24T00:00:00"/>
    <x v="4"/>
    <s v="Stown"/>
    <s v="Josh"/>
    <n v="983.57"/>
    <n v="935.38"/>
    <m/>
    <n v="18.2"/>
    <s v="y"/>
    <n v="5.09"/>
    <x v="2"/>
    <x v="4"/>
    <n v="4761.0842000000002"/>
  </r>
  <r>
    <d v="2021-09-25T00:00:00"/>
    <x v="4"/>
    <s v="Stown"/>
    <s v="Josh"/>
    <n v="1247.5"/>
    <n v="1186.3699999999999"/>
    <m/>
    <n v="18.3"/>
    <s v="y"/>
    <n v="5.09"/>
    <x v="2"/>
    <x v="4"/>
    <n v="6038.6232999999993"/>
  </r>
  <r>
    <d v="2021-09-09T00:00:00"/>
    <x v="2"/>
    <s v="Stown"/>
    <s v="Lars"/>
    <n v="809.67"/>
    <n v="809.67"/>
    <n v="56.2"/>
    <n v="12.7"/>
    <m/>
    <m/>
    <x v="0"/>
    <x v="4"/>
    <n v="0"/>
  </r>
  <r>
    <d v="2021-09-09T00:00:00"/>
    <x v="2"/>
    <s v="Stown"/>
    <s v="Lars"/>
    <n v="827.33"/>
    <n v="827.33"/>
    <n v="56.4"/>
    <n v="11.8"/>
    <m/>
    <m/>
    <x v="0"/>
    <x v="4"/>
    <n v="0"/>
  </r>
  <r>
    <d v="2021-09-09T00:00:00"/>
    <x v="2"/>
    <s v="Stown"/>
    <s v="Lars"/>
    <n v="828"/>
    <n v="828"/>
    <n v="56.3"/>
    <n v="11.3"/>
    <m/>
    <m/>
    <x v="0"/>
    <x v="4"/>
    <n v="0"/>
  </r>
  <r>
    <d v="2021-09-09T00:00:00"/>
    <x v="2"/>
    <s v="Stown"/>
    <s v="Lars"/>
    <n v="884.33"/>
    <n v="884.33"/>
    <n v="56.7"/>
    <n v="10.7"/>
    <m/>
    <m/>
    <x v="0"/>
    <x v="4"/>
    <n v="0"/>
  </r>
  <r>
    <d v="2021-09-10T00:00:00"/>
    <x v="8"/>
    <s v="Stown"/>
    <s v="Lars"/>
    <n v="949.67"/>
    <n v="949.67"/>
    <n v="57.3"/>
    <n v="12"/>
    <m/>
    <m/>
    <x v="0"/>
    <x v="4"/>
    <n v="0"/>
  </r>
  <r>
    <d v="2021-09-13T00:00:00"/>
    <x v="8"/>
    <s v="Stown"/>
    <s v="Lars"/>
    <n v="915.67"/>
    <n v="915.67"/>
    <n v="55.8"/>
    <n v="12.5"/>
    <m/>
    <m/>
    <x v="0"/>
    <x v="4"/>
    <n v="0"/>
  </r>
  <r>
    <d v="2021-09-13T00:00:00"/>
    <x v="8"/>
    <s v="Stown"/>
    <s v="Lars"/>
    <m/>
    <n v="387.02"/>
    <m/>
    <m/>
    <n v="12.56"/>
    <m/>
    <x v="0"/>
    <x v="4"/>
    <n v="0"/>
  </r>
  <r>
    <d v="2021-10-11T00:00:00"/>
    <x v="7"/>
    <s v="Stown"/>
    <s v="Lars"/>
    <n v="1000"/>
    <n v="1000"/>
    <n v="58.4"/>
    <n v="14.5"/>
    <s v="y"/>
    <n v="5.23"/>
    <x v="1"/>
    <x v="4"/>
    <n v="5230"/>
  </r>
  <r>
    <d v="2021-10-11T00:00:00"/>
    <x v="7"/>
    <s v="Stown"/>
    <s v="Josh"/>
    <n v="1073.93"/>
    <n v="1073.93"/>
    <n v="59"/>
    <n v="14.4"/>
    <s v="y"/>
    <n v="5.23"/>
    <x v="1"/>
    <x v="4"/>
    <n v="5616.6539000000012"/>
  </r>
  <r>
    <d v="2021-10-11T00:00:00"/>
    <x v="7"/>
    <s v="Stown"/>
    <s v="Lars"/>
    <n v="1089.6400000000001"/>
    <n v="1089.6400000000001"/>
    <n v="59.1"/>
    <n v="14.3"/>
    <s v="y"/>
    <n v="5.23"/>
    <x v="1"/>
    <x v="4"/>
    <n v="5698.8172000000013"/>
  </r>
  <r>
    <d v="2021-10-11T00:00:00"/>
    <x v="7"/>
    <s v="Stown"/>
    <s v="Lars"/>
    <n v="975.36"/>
    <n v="975.36"/>
    <n v="58.8"/>
    <n v="14.3"/>
    <s v="y"/>
    <n v="5.23"/>
    <x v="1"/>
    <x v="4"/>
    <n v="5101.1328000000003"/>
  </r>
  <r>
    <d v="2021-10-11T00:00:00"/>
    <x v="7"/>
    <s v="Stown"/>
    <s v="Lars"/>
    <n v="173.21"/>
    <n v="173.21"/>
    <n v="59"/>
    <n v="14.3"/>
    <s v="y"/>
    <n v="5.23"/>
    <x v="1"/>
    <x v="4"/>
    <n v="905.88830000000007"/>
  </r>
  <r>
    <d v="2022-01-12T00:00:00"/>
    <x v="0"/>
    <s v="Stown"/>
    <s v="Lars"/>
    <n v="965"/>
    <n v="944.73"/>
    <n v="16"/>
    <n v="61"/>
    <s v="y"/>
    <n v="6.5"/>
    <x v="2"/>
    <x v="4"/>
    <n v="6140.7449999999999"/>
  </r>
  <r>
    <d v="2022-02-18T00:00:00"/>
    <x v="0"/>
    <s v="Stown"/>
    <s v="Lars"/>
    <n v="864.29"/>
    <n v="846.14"/>
    <n v="15.7"/>
    <n v="60.2"/>
    <s v="y"/>
    <n v="6.5"/>
    <x v="2"/>
    <x v="4"/>
    <n v="5499.91"/>
  </r>
  <r>
    <d v="2022-02-22T00:00:00"/>
    <x v="0"/>
    <s v="Stown"/>
    <s v="Josh"/>
    <n v="929.29"/>
    <n v="209.13"/>
    <n v="15.8"/>
    <n v="57.4"/>
    <s v="y"/>
    <n v="6.5"/>
    <x v="2"/>
    <x v="4"/>
    <n v="1359.345"/>
  </r>
  <r>
    <d v="2022-02-22T00:00:00"/>
    <x v="0"/>
    <m/>
    <m/>
    <m/>
    <n v="700.64"/>
    <m/>
    <m/>
    <s v="y"/>
    <n v="6.35"/>
    <x v="2"/>
    <x v="4"/>
    <n v="4449.0639999999994"/>
  </r>
  <r>
    <d v="2022-02-23T00:00:00"/>
    <x v="0"/>
    <s v="Stown"/>
    <s v="Lars"/>
    <n v="978.57"/>
    <n v="799.36"/>
    <n v="16"/>
    <n v="61.7"/>
    <s v="y"/>
    <n v="6.35"/>
    <x v="2"/>
    <x v="4"/>
    <n v="5075.9359999999997"/>
  </r>
  <r>
    <d v="2022-02-23T00:00:00"/>
    <x v="0"/>
    <m/>
    <m/>
    <m/>
    <n v="158.66"/>
    <m/>
    <m/>
    <s v="y"/>
    <n v="8.0399999999999991"/>
    <x v="2"/>
    <x v="4"/>
    <n v="1275.6263999999999"/>
  </r>
  <r>
    <d v="2021-03-03T00:00:00"/>
    <x v="0"/>
    <s v="ADM"/>
    <s v="Old Pony"/>
    <n v="975.71"/>
    <n v="975.71"/>
    <n v="15.9"/>
    <n v="60.7"/>
    <s v="y"/>
    <n v="7.6"/>
    <x v="2"/>
    <x v="4"/>
    <n v="7415.3959999999997"/>
  </r>
  <r>
    <d v="2021-03-03T00:00:00"/>
    <x v="0"/>
    <s v="ADM"/>
    <s v="Old Pony"/>
    <n v="1052.1400000000001"/>
    <n v="1052.1400000000001"/>
    <n v="15.8"/>
    <n v="60.6"/>
    <s v="y"/>
    <n v="7.6"/>
    <x v="2"/>
    <x v="4"/>
    <n v="7996.2640000000001"/>
  </r>
  <r>
    <d v="2021-03-03T00:00:00"/>
    <x v="0"/>
    <s v="ADM"/>
    <s v="Lars"/>
    <n v="984.64"/>
    <n v="984.64"/>
    <n v="15.8"/>
    <n v="61"/>
    <s v="y"/>
    <n v="7.6"/>
    <x v="2"/>
    <x v="4"/>
    <n v="7483.2639999999992"/>
  </r>
  <r>
    <d v="2021-03-03T00:00:00"/>
    <x v="0"/>
    <s v="ADM"/>
    <s v="Old Pony"/>
    <n v="975.71"/>
    <n v="975.71"/>
    <n v="16"/>
    <n v="60.7"/>
    <s v="y"/>
    <n v="7.6"/>
    <x v="2"/>
    <x v="4"/>
    <n v="7415.3959999999997"/>
  </r>
  <r>
    <d v="2021-03-03T00:00:00"/>
    <x v="0"/>
    <s v="ADM"/>
    <s v="Old Pony"/>
    <n v="1152.1400000000001"/>
    <n v="1152.1400000000001"/>
    <n v="16"/>
    <n v="60.7"/>
    <s v="y"/>
    <n v="7.6"/>
    <x v="2"/>
    <x v="4"/>
    <n v="8756.264000000001"/>
  </r>
  <r>
    <d v="2022-03-04T00:00:00"/>
    <x v="0"/>
    <s v="ADM"/>
    <s v="Lars"/>
    <n v="946.07"/>
    <n v="946.07"/>
    <n v="15.7"/>
    <n v="61.8"/>
    <s v="y"/>
    <n v="7.88"/>
    <x v="2"/>
    <x v="4"/>
    <n v="7455.0316000000003"/>
  </r>
  <r>
    <d v="2022-03-07T00:00:00"/>
    <x v="0"/>
    <s v="Stown"/>
    <s v="Lars"/>
    <n v="961.43"/>
    <n v="941.24"/>
    <n v="16"/>
    <n v="61.4"/>
    <s v="y"/>
    <n v="8.31"/>
    <x v="2"/>
    <x v="4"/>
    <n v="7821.7044000000005"/>
  </r>
  <r>
    <d v="2022-03-08T00:00:00"/>
    <x v="0"/>
    <s v="Stown"/>
    <s v="Lars"/>
    <n v="997.5"/>
    <n v="976.55"/>
    <n v="15.7"/>
    <n v="61.8"/>
    <s v="y"/>
    <n v="8.33"/>
    <x v="2"/>
    <x v="4"/>
    <n v="8134.6614999999993"/>
  </r>
  <r>
    <d v="2022-03-10T00:00:00"/>
    <x v="0"/>
    <s v="Valero"/>
    <s v="Lars"/>
    <m/>
    <n v="801.7"/>
    <n v="15.5"/>
    <n v="60.7"/>
    <s v="y"/>
    <n v="7.36"/>
    <x v="2"/>
    <x v="4"/>
    <n v="5900.5120000000006"/>
  </r>
  <r>
    <d v="2022-06-30T00:00:00"/>
    <x v="0"/>
    <s v="Stown"/>
    <s v="Josh"/>
    <n v="962.14"/>
    <n v="948.67"/>
    <n v="15.7"/>
    <n v="59.9"/>
    <s v="y"/>
    <n v="7.54"/>
    <x v="2"/>
    <x v="4"/>
    <n v="7152.9717999999993"/>
  </r>
  <r>
    <d v="2022-07-01T00:00:00"/>
    <x v="0"/>
    <s v="Stown"/>
    <s v="Josh"/>
    <n v="1011.79"/>
    <n v="997.62"/>
    <n v="16"/>
    <n v="59.7"/>
    <s v="y"/>
    <n v="7.53"/>
    <x v="2"/>
    <x v="4"/>
    <n v="7512.0786000000007"/>
  </r>
  <r>
    <d v="2022-08-01T00:00:00"/>
    <x v="0"/>
    <s v="GRN PLNS"/>
    <s v="Old Pony"/>
    <n v="1095.71"/>
    <n v="1071.06"/>
    <n v="16.2"/>
    <n v="58.9"/>
    <s v="y"/>
    <n v="7.27"/>
    <x v="2"/>
    <x v="4"/>
    <n v="7786.6061999999993"/>
  </r>
  <r>
    <d v="2022-08-02T00:00:00"/>
    <x v="0"/>
    <s v="GRN PLNS"/>
    <s v="Old Pony"/>
    <n v="199.84"/>
    <n v="198.34"/>
    <n v="15.5"/>
    <n v="59.3"/>
    <s v="y"/>
    <n v="7.27"/>
    <x v="2"/>
    <x v="4"/>
    <n v="1441.9317999999998"/>
  </r>
  <r>
    <d v="2022-08-02T00:00:00"/>
    <x v="0"/>
    <m/>
    <m/>
    <n v="876.75"/>
    <n v="870.17"/>
    <m/>
    <m/>
    <s v="y"/>
    <n v="6.87"/>
    <x v="2"/>
    <x v="4"/>
    <n v="5978.0679"/>
  </r>
  <r>
    <d v="2022-08-02T00:00:00"/>
    <x v="0"/>
    <s v="GRN PLNS"/>
    <s v="Old Pony"/>
    <n v="1101.43"/>
    <n v="1084.9100000000001"/>
    <n v="15.6"/>
    <n v="59.1"/>
    <s v="y"/>
    <n v="7.1124999999999998"/>
    <x v="2"/>
    <x v="4"/>
    <n v="7716.4223750000001"/>
  </r>
  <r>
    <d v="2022-08-02T00:00:00"/>
    <x v="0"/>
    <s v="GRN PLNS"/>
    <s v="Old Pony"/>
    <n v="1036.07"/>
    <n v="1020.53"/>
    <n v="15.7"/>
    <n v="59.6"/>
    <s v="y"/>
    <n v="7.1124999999999998"/>
    <x v="2"/>
    <x v="4"/>
    <n v="7258.5196249999999"/>
  </r>
  <r>
    <d v="2022-08-03T00:00:00"/>
    <x v="0"/>
    <s v="GRN PLNS"/>
    <s v="Old Pony"/>
    <n v="1140.3599999999999"/>
    <n v="1123.25"/>
    <n v="15.6"/>
    <n v="59.5"/>
    <s v="y"/>
    <n v="6.87"/>
    <x v="2"/>
    <x v="4"/>
    <n v="7716.7275"/>
  </r>
  <r>
    <d v="2022-08-05T00:00:00"/>
    <x v="0"/>
    <s v="GRN PLNS"/>
    <s v="Old Pony"/>
    <n v="1108.93"/>
    <n v="1092.3"/>
    <n v="15.8"/>
    <n v="60.3"/>
    <s v="y"/>
    <n v="6.9024999999999999"/>
    <x v="2"/>
    <x v="4"/>
    <n v="7539.6007499999996"/>
  </r>
  <r>
    <d v="2022-08-05T00:00:00"/>
    <x v="0"/>
    <s v="GRN PLNS"/>
    <s v="Old Pony"/>
    <n v="1127.1400000000001"/>
    <n v="1110.23"/>
    <n v="15.8"/>
    <n v="59.5"/>
    <s v="y"/>
    <n v="6.9024999999999999"/>
    <x v="2"/>
    <x v="4"/>
    <n v="7663.3625750000001"/>
  </r>
  <r>
    <d v="2022-08-08T00:00:00"/>
    <x v="0"/>
    <s v="GRN PLNS"/>
    <s v="Old Pony"/>
    <n v="1213.57"/>
    <n v="1213.57"/>
    <n v="14.8"/>
    <n v="60.9"/>
    <s v="y"/>
    <n v="6.8849999999999998"/>
    <x v="2"/>
    <x v="4"/>
    <n v="8355.4294499999996"/>
  </r>
  <r>
    <d v="2022-08-08T00:00:00"/>
    <x v="0"/>
    <s v="GRN PLNS"/>
    <s v="Old Pony"/>
    <n v="1152.5"/>
    <n v="1152.5"/>
    <n v="14.9"/>
    <n v="61.1"/>
    <s v="y"/>
    <n v="6.8849999999999998"/>
    <x v="2"/>
    <x v="4"/>
    <n v="7934.9624999999996"/>
  </r>
  <r>
    <d v="2022-08-23T00:00:00"/>
    <x v="0"/>
    <s v="Stown"/>
    <s v="Josh"/>
    <n v="661.79"/>
    <n v="661.79"/>
    <n v="13.9"/>
    <n v="60.9"/>
    <s v="y"/>
    <n v="7.35"/>
    <x v="2"/>
    <x v="4"/>
    <n v="4864.1564999999991"/>
  </r>
  <r>
    <d v="2021-11-09T00:00:00"/>
    <x v="0"/>
    <s v="S-Town"/>
    <s v="Lars"/>
    <n v="846.33"/>
    <n v="829.4"/>
    <n v="13.7"/>
    <n v="53.7"/>
    <s v="y"/>
    <n v="12.02"/>
    <x v="0"/>
    <x v="4"/>
    <n v="9969.387999999999"/>
  </r>
  <r>
    <d v="2021-11-15T00:00:00"/>
    <x v="0"/>
    <s v="S-Town"/>
    <s v="Lars"/>
    <n v="833.33"/>
    <n v="825"/>
    <n v="13.3"/>
    <n v="52.3"/>
    <s v="y"/>
    <n v="12.6"/>
    <x v="0"/>
    <x v="4"/>
    <n v="10395"/>
  </r>
  <r>
    <d v="2022-03-11T00:00:00"/>
    <x v="0"/>
    <s v="S-Town"/>
    <s v="Lars"/>
    <n v="813"/>
    <n v="796.74"/>
    <n v="14"/>
    <n v="53.7"/>
    <s v="y"/>
    <n v="13.08"/>
    <x v="0"/>
    <x v="4"/>
    <n v="10421.359200000001"/>
  </r>
  <r>
    <d v="2022-03-11T00:00:00"/>
    <x v="0"/>
    <s v="S-Town"/>
    <s v="Lars"/>
    <n v="831"/>
    <n v="822.69"/>
    <n v="13.5"/>
    <n v="53.8"/>
    <s v="y"/>
    <n v="13.08"/>
    <x v="0"/>
    <x v="4"/>
    <n v="10760.7852"/>
  </r>
  <r>
    <d v="2022-03-15T00:00:00"/>
    <x v="0"/>
    <s v="S-Town"/>
    <s v="Carl"/>
    <n v="798"/>
    <n v="798"/>
    <n v="13"/>
    <n v="54.5"/>
    <s v="y"/>
    <n v="15.59"/>
    <x v="0"/>
    <x v="4"/>
    <n v="12440.82"/>
  </r>
  <r>
    <d v="2022-03-15T00:00:00"/>
    <x v="0"/>
    <s v="S-Town"/>
    <s v="Carl"/>
    <n v="855.33"/>
    <n v="855.33"/>
    <n v="13"/>
    <n v="54.7"/>
    <s v="y"/>
    <n v="13.08"/>
    <x v="0"/>
    <x v="4"/>
    <n v="11187.716400000001"/>
  </r>
  <r>
    <d v="2022-03-16T00:00:00"/>
    <x v="0"/>
    <s v="S-Town"/>
    <s v="Carl"/>
    <n v="919.33"/>
    <n v="919.33"/>
    <n v="12.8"/>
    <n v="54.5"/>
    <s v="y"/>
    <n v="13.08"/>
    <x v="0"/>
    <x v="4"/>
    <n v="12024.8364"/>
  </r>
  <r>
    <d v="2022-03-16T00:00:00"/>
    <x v="0"/>
    <s v="S-Town"/>
    <s v="Carl"/>
    <n v="898"/>
    <n v="898"/>
    <n v="13"/>
    <n v="54.5"/>
    <s v="y"/>
    <n v="13.08"/>
    <x v="0"/>
    <x v="4"/>
    <n v="11745.84"/>
  </r>
  <r>
    <d v="2022-03-16T00:00:00"/>
    <x v="0"/>
    <s v="S-Town"/>
    <s v="Carl"/>
    <n v="902.67"/>
    <n v="778.59"/>
    <n v="13.4"/>
    <n v="55.3"/>
    <s v="y"/>
    <n v="15.35"/>
    <x v="0"/>
    <x v="4"/>
    <n v="11951.3565"/>
  </r>
  <r>
    <d v="2022-03-16T00:00:00"/>
    <x v="0"/>
    <m/>
    <m/>
    <m/>
    <n v="115.05"/>
    <m/>
    <m/>
    <s v="y"/>
    <n v="15.59"/>
    <x v="0"/>
    <x v="4"/>
    <n v="1793.6295"/>
  </r>
  <r>
    <d v="2022-03-17T00:00:00"/>
    <x v="0"/>
    <s v="S-Town"/>
    <s v="Carl"/>
    <n v="62.77"/>
    <n v="59.63"/>
    <n v="13.2"/>
    <n v="54.8"/>
    <s v="y"/>
    <n v="13.08"/>
    <x v="0"/>
    <x v="4"/>
    <n v="779.96040000000005"/>
  </r>
  <r>
    <d v="2022-03-17T00:00:00"/>
    <x v="0"/>
    <m/>
    <m/>
    <n v="759.38"/>
    <n v="721.41"/>
    <n v="13.2"/>
    <n v="54.8"/>
    <s v="y"/>
    <n v="15.35"/>
    <x v="0"/>
    <x v="4"/>
    <n v="11073.6435"/>
  </r>
  <r>
    <d v="2022-03-17T00:00:00"/>
    <x v="0"/>
    <m/>
    <m/>
    <n v="91.53"/>
    <n v="86.95"/>
    <n v="13.2"/>
    <n v="54.8"/>
    <s v="y"/>
    <n v="15.59"/>
    <x v="0"/>
    <x v="4"/>
    <n v="1355.5505000000001"/>
  </r>
  <r>
    <d v="2022-03-17T00:00:00"/>
    <x v="0"/>
    <m/>
    <m/>
    <n v="10.99"/>
    <n v="10.44"/>
    <n v="13.2"/>
    <n v="54.8"/>
    <s v="y"/>
    <n v="16.07"/>
    <x v="0"/>
    <x v="4"/>
    <n v="167.77080000000001"/>
  </r>
  <r>
    <d v="2022-03-21T00:00:00"/>
    <x v="0"/>
    <s v="S-Town"/>
    <s v="Carl"/>
    <n v="903.67"/>
    <n v="903.67"/>
    <n v="13"/>
    <n v="54.8"/>
    <s v="y"/>
    <n v="16.07"/>
    <x v="0"/>
    <x v="4"/>
    <n v="14521.9769"/>
  </r>
  <r>
    <d v="2022-03-21T00:00:00"/>
    <x v="0"/>
    <s v="S-Town"/>
    <s v="Carl"/>
    <n v="86.76"/>
    <n v="85.89"/>
    <n v="13.3"/>
    <n v="54.8"/>
    <s v="y"/>
    <n v="16.07"/>
    <x v="0"/>
    <x v="4"/>
    <n v="1380.2523000000001"/>
  </r>
  <r>
    <d v="2022-03-21T00:00:00"/>
    <x v="0"/>
    <m/>
    <m/>
    <n v="829.57"/>
    <n v="821.27"/>
    <m/>
    <m/>
    <s v="y"/>
    <n v="17.04"/>
    <x v="0"/>
    <x v="4"/>
    <n v="13994.440799999998"/>
  </r>
  <r>
    <d v="2022-03-21T00:00:00"/>
    <x v="0"/>
    <s v="S-Town"/>
    <s v="Carl"/>
    <n v="192.18"/>
    <n v="178.73"/>
    <n v="12.9"/>
    <n v="54.8"/>
    <s v="y"/>
    <n v="17.04"/>
    <x v="0"/>
    <x v="4"/>
    <n v="3045.5591999999997"/>
  </r>
  <r>
    <d v="2022-03-21T00:00:00"/>
    <x v="0"/>
    <m/>
    <m/>
    <n v="730.49"/>
    <n v="679.36"/>
    <m/>
    <m/>
    <s v="y"/>
    <n v="17.010000000000002"/>
    <x v="0"/>
    <x v="4"/>
    <n v="11555.913600000002"/>
  </r>
  <r>
    <d v="2022-04-07T00:00:00"/>
    <x v="0"/>
    <s v="S-Town"/>
    <s v="Josh"/>
    <n v="884.67"/>
    <n v="884.67"/>
    <n v="12.7"/>
    <n v="54.1"/>
    <s v="y"/>
    <n v="17.5"/>
    <x v="0"/>
    <x v="4"/>
    <n v="15481.724999999999"/>
  </r>
  <r>
    <d v="2022-04-11T00:00:00"/>
    <x v="0"/>
    <s v="S-Town"/>
    <s v="Josh"/>
    <n v="878.67"/>
    <n v="878.67"/>
    <n v="12.9"/>
    <n v="54.1"/>
    <s v="y"/>
    <n v="17.5"/>
    <x v="0"/>
    <x v="4"/>
    <n v="15376.724999999999"/>
  </r>
  <r>
    <d v="2022-04-14T00:00:00"/>
    <x v="0"/>
    <s v="S-Town"/>
    <s v="Josh"/>
    <n v="857.33"/>
    <n v="736.66600000000005"/>
    <n v="13"/>
    <n v="54.2"/>
    <s v="y"/>
    <n v="17.5"/>
    <x v="0"/>
    <x v="4"/>
    <n v="12891.655000000001"/>
  </r>
  <r>
    <d v="2022-04-14T00:00:00"/>
    <x v="0"/>
    <m/>
    <m/>
    <m/>
    <n v="120.67"/>
    <m/>
    <m/>
    <s v="y"/>
    <n v="16.824999999999999"/>
    <x v="0"/>
    <x v="4"/>
    <n v="2030.2727499999999"/>
  </r>
  <r>
    <d v="2022-05-23T00:00:00"/>
    <x v="0"/>
    <s v="S-Town"/>
    <s v="Josh"/>
    <n v="350.67"/>
    <n v="347.16"/>
    <n v="13.1"/>
    <n v="54.7"/>
    <s v="y"/>
    <n v="17.649999999999999"/>
    <x v="0"/>
    <x v="4"/>
    <n v="6127.3739999999998"/>
  </r>
  <r>
    <d v="2021-09-13T00:00:00"/>
    <x v="1"/>
    <s v="Stown"/>
    <s v="Lars"/>
    <n v="1004.29"/>
    <n v="905.87"/>
    <n v="58.6"/>
    <n v="21.8"/>
    <s v="y"/>
    <n v="5.68"/>
    <x v="2"/>
    <x v="4"/>
    <n v="5145.3415999999997"/>
  </r>
  <r>
    <d v="2021-10-12T00:00:00"/>
    <x v="1"/>
    <s v="Stown"/>
    <s v="Lars"/>
    <n v="963.21"/>
    <n v="963.21"/>
    <n v="60.1"/>
    <n v="15"/>
    <s v="y"/>
    <n v="5.1100000000000003"/>
    <x v="2"/>
    <x v="4"/>
    <n v="4922.0031000000008"/>
  </r>
  <r>
    <d v="2021-11-29T00:00:00"/>
    <x v="1"/>
    <s v="Stown"/>
    <s v="Josh"/>
    <n v="881.79"/>
    <n v="869.44"/>
    <n v="56.9"/>
    <n v="16"/>
    <s v="y"/>
    <n v="6"/>
    <x v="2"/>
    <x v="4"/>
    <n v="5216.6400000000003"/>
  </r>
  <r>
    <d v="2021-11-30T00:00:00"/>
    <x v="1"/>
    <s v="Stown"/>
    <s v="Lars"/>
    <n v="990.71"/>
    <n v="990.71"/>
    <n v="59"/>
    <n v="14.7"/>
    <s v="y"/>
    <n v="6"/>
    <x v="2"/>
    <x v="4"/>
    <n v="5944.26"/>
  </r>
  <r>
    <d v="2021-12-01T00:00:00"/>
    <x v="1"/>
    <s v="Stown"/>
    <s v="Lars"/>
    <n v="1006.79"/>
    <n v="1006.79"/>
    <n v="57.8"/>
    <n v="14.5"/>
    <s v="y"/>
    <n v="6"/>
    <x v="2"/>
    <x v="4"/>
    <n v="6040.74"/>
  </r>
  <r>
    <d v="2021-12-01T00:00:00"/>
    <x v="1"/>
    <s v="Stown"/>
    <s v="Lars"/>
    <n v="1031.79"/>
    <n v="1031.79"/>
    <n v="58.2"/>
    <n v="14.7"/>
    <s v="y"/>
    <n v="6"/>
    <x v="2"/>
    <x v="4"/>
    <n v="6190.74"/>
  </r>
  <r>
    <d v="2021-12-02T00:00:00"/>
    <x v="1"/>
    <s v="Stown"/>
    <s v="Lars"/>
    <n v="1048.93"/>
    <n v="1048.93"/>
    <n v="58.8"/>
    <n v="14.7"/>
    <s v="y"/>
    <n v="6"/>
    <x v="2"/>
    <x v="4"/>
    <n v="6293.58"/>
  </r>
  <r>
    <d v="2021-12-02T00:00:00"/>
    <x v="1"/>
    <s v="Stown"/>
    <s v="Lars"/>
    <n v="1050"/>
    <n v="1050"/>
    <n v="58.7"/>
    <n v="14.7"/>
    <s v="y"/>
    <n v="6"/>
    <x v="2"/>
    <x v="4"/>
    <n v="6300"/>
  </r>
  <r>
    <d v="2021-12-02T00:00:00"/>
    <x v="1"/>
    <s v="Stown"/>
    <s v="Lars"/>
    <n v="1036.79"/>
    <n v="1036.79"/>
    <n v="58.5"/>
    <n v="14.7"/>
    <s v="y"/>
    <n v="6"/>
    <x v="2"/>
    <x v="4"/>
    <n v="6220.74"/>
  </r>
  <r>
    <d v="2021-12-02T00:00:00"/>
    <x v="1"/>
    <s v="Stown"/>
    <s v="Lars"/>
    <n v="1068.21"/>
    <n v="1068.21"/>
    <n v="58.2"/>
    <n v="14.8"/>
    <s v="y"/>
    <n v="6"/>
    <x v="2"/>
    <x v="4"/>
    <n v="6409.26"/>
  </r>
  <r>
    <d v="2021-12-02T00:00:00"/>
    <x v="1"/>
    <s v="Stown"/>
    <s v="Lars"/>
    <n v="1048.93"/>
    <n v="1048.93"/>
    <n v="58.9"/>
    <n v="14.8"/>
    <s v="y"/>
    <n v="6"/>
    <x v="2"/>
    <x v="4"/>
    <n v="6293.58"/>
  </r>
  <r>
    <d v="2021-12-06T00:00:00"/>
    <x v="1"/>
    <s v="Stown"/>
    <s v="Lars"/>
    <n v="1014.64"/>
    <n v="1014.64"/>
    <n v="59.5"/>
    <n v="15"/>
    <s v="y"/>
    <n v="6"/>
    <x v="2"/>
    <x v="4"/>
    <n v="6087.84"/>
  </r>
  <r>
    <d v="2021-12-06T00:00:00"/>
    <x v="1"/>
    <s v="Stown"/>
    <s v="Lars"/>
    <n v="1010.71"/>
    <n v="1003.64"/>
    <n v="59.4"/>
    <n v="15.2"/>
    <s v="y"/>
    <n v="6"/>
    <x v="2"/>
    <x v="4"/>
    <n v="6021.84"/>
  </r>
  <r>
    <d v="2021-12-06T00:00:00"/>
    <x v="1"/>
    <s v="Stown"/>
    <s v="Lars"/>
    <n v="1015.71"/>
    <n v="830.13"/>
    <n v="59.6"/>
    <n v="15.3"/>
    <s v="y"/>
    <n v="6"/>
    <x v="2"/>
    <x v="4"/>
    <n v="4980.78"/>
  </r>
  <r>
    <d v="2021-12-06T00:00:00"/>
    <x v="1"/>
    <m/>
    <m/>
    <m/>
    <n v="178.47"/>
    <m/>
    <m/>
    <s v="y"/>
    <n v="6"/>
    <x v="2"/>
    <x v="4"/>
    <n v="1070.82"/>
  </r>
  <r>
    <d v="2021-12-06T00:00:00"/>
    <x v="1"/>
    <s v="Stown"/>
    <s v="Lars"/>
    <n v="1049.29"/>
    <n v="1034.5999999999999"/>
    <n v="58.4"/>
    <n v="15.7"/>
    <s v="y"/>
    <n v="6"/>
    <x v="2"/>
    <x v="4"/>
    <n v="6207.5999999999995"/>
  </r>
  <r>
    <d v="2021-12-06T00:00:00"/>
    <x v="1"/>
    <s v="Stown"/>
    <s v="Lars"/>
    <n v="1038.57"/>
    <n v="1024.03"/>
    <n v="59.3"/>
    <n v="15.8"/>
    <s v="y"/>
    <n v="6"/>
    <x v="2"/>
    <x v="4"/>
    <n v="6144.18"/>
  </r>
  <r>
    <d v="2021-12-07T00:00:00"/>
    <x v="1"/>
    <s v="Stown"/>
    <s v="Lars"/>
    <n v="1055.3599999999999"/>
    <n v="1040.58"/>
    <n v="59.5"/>
    <n v="15.8"/>
    <s v="y"/>
    <n v="6"/>
    <x v="2"/>
    <x v="4"/>
    <n v="6243.48"/>
  </r>
  <r>
    <d v="2021-12-07T00:00:00"/>
    <x v="1"/>
    <s v="Stown"/>
    <s v="Lars"/>
    <n v="1030.71"/>
    <n v="1016.28"/>
    <n v="59.2"/>
    <n v="15.8"/>
    <s v="y"/>
    <n v="6"/>
    <x v="2"/>
    <x v="4"/>
    <n v="6097.68"/>
  </r>
  <r>
    <d v="2021-12-07T00:00:00"/>
    <x v="1"/>
    <s v="Stown"/>
    <s v="Lars"/>
    <n v="1034.6400000000001"/>
    <n v="706.04"/>
    <n v="59.4"/>
    <n v="15.9"/>
    <s v="y"/>
    <n v="6"/>
    <x v="2"/>
    <x v="4"/>
    <n v="4236.24"/>
  </r>
  <r>
    <d v="2021-12-07T00:00:00"/>
    <x v="1"/>
    <m/>
    <m/>
    <m/>
    <n v="314.12"/>
    <m/>
    <m/>
    <s v="y"/>
    <n v="5.9"/>
    <x v="2"/>
    <x v="4"/>
    <n v="1853.3080000000002"/>
  </r>
  <r>
    <d v="2022-02-23T00:00:00"/>
    <x v="1"/>
    <s v="Stown"/>
    <s v="Lars"/>
    <n v="867.5"/>
    <n v="849.28"/>
    <n v="60.4"/>
    <n v="16.5"/>
    <s v="y"/>
    <n v="6.02"/>
    <x v="2"/>
    <x v="4"/>
    <n v="5112.6655999999994"/>
  </r>
  <r>
    <d v="2022-02-23T00:00:00"/>
    <x v="1"/>
    <s v="Stown"/>
    <s v="Lars"/>
    <n v="964.64"/>
    <n v="951.14"/>
    <n v="60.4"/>
    <n v="16"/>
    <s v="y"/>
    <n v="6.02"/>
    <x v="2"/>
    <x v="4"/>
    <n v="5725.8627999999999"/>
  </r>
  <r>
    <d v="2022-02-23T00:00:00"/>
    <x v="1"/>
    <s v="Stown"/>
    <s v="Lars"/>
    <n v="991.79"/>
    <n v="970.96"/>
    <n v="60.4"/>
    <n v="16.2"/>
    <s v="y"/>
    <n v="6.02"/>
    <x v="2"/>
    <x v="4"/>
    <n v="5845.1791999999996"/>
  </r>
  <r>
    <d v="2022-02-25T00:00:00"/>
    <x v="1"/>
    <s v="Stown"/>
    <s v="Lars"/>
    <n v="996.07"/>
    <n v="982.13"/>
    <n v="60.2"/>
    <n v="16"/>
    <s v="y"/>
    <n v="6.02"/>
    <x v="2"/>
    <x v="4"/>
    <n v="5912.4225999999999"/>
  </r>
  <r>
    <d v="2022-02-25T00:00:00"/>
    <x v="1"/>
    <s v="Stown"/>
    <s v="Lars"/>
    <n v="1018.57"/>
    <n v="997.18"/>
    <n v="61"/>
    <n v="16.3"/>
    <s v="y"/>
    <n v="6.02"/>
    <x v="2"/>
    <x v="4"/>
    <n v="6003.0235999999995"/>
  </r>
  <r>
    <d v="2022-02-25T00:00:00"/>
    <x v="1"/>
    <s v="Stown"/>
    <s v="Lars"/>
    <n v="1030"/>
    <n v="1015.58"/>
    <n v="60.3"/>
    <n v="16"/>
    <s v="y"/>
    <n v="6.02"/>
    <x v="2"/>
    <x v="4"/>
    <n v="6113.7915999999996"/>
  </r>
  <r>
    <d v="2022-02-25T00:00:00"/>
    <x v="1"/>
    <s v="Stown"/>
    <s v="Lars"/>
    <n v="988.21"/>
    <n v="974.38"/>
    <n v="60.5"/>
    <n v="16"/>
    <s v="y"/>
    <n v="6.02"/>
    <x v="2"/>
    <x v="4"/>
    <n v="5865.7675999999992"/>
  </r>
  <r>
    <d v="2022-02-25T00:00:00"/>
    <x v="1"/>
    <s v="Stown"/>
    <s v="Lars"/>
    <n v="976.43"/>
    <n v="259.35000000000002"/>
    <n v="60.4"/>
    <n v="15.9"/>
    <s v="y"/>
    <n v="6.02"/>
    <x v="2"/>
    <x v="4"/>
    <n v="1561.287"/>
  </r>
  <r>
    <d v="2022-02-25T00:00:00"/>
    <x v="1"/>
    <m/>
    <m/>
    <m/>
    <n v="703.41"/>
    <m/>
    <m/>
    <s v="y"/>
    <n v="6.38"/>
    <x v="2"/>
    <x v="4"/>
    <n v="4487.7557999999999"/>
  </r>
  <r>
    <d v="2022-02-25T00:00:00"/>
    <x v="1"/>
    <s v="Stown"/>
    <s v="Lars"/>
    <n v="961.07"/>
    <n v="947.62"/>
    <n v="60.3"/>
    <n v="16"/>
    <s v="y"/>
    <n v="6.38"/>
    <x v="2"/>
    <x v="4"/>
    <n v="6045.8155999999999"/>
  </r>
  <r>
    <d v="2022-03-04T00:00:00"/>
    <x v="1"/>
    <s v="MTV ADM"/>
    <s v="Lars"/>
    <n v="932.14"/>
    <n v="932.14"/>
    <n v="60.4"/>
    <n v="15.2"/>
    <s v="y"/>
    <n v="7.36"/>
    <x v="2"/>
    <x v="4"/>
    <n v="6860.5504000000001"/>
  </r>
  <r>
    <d v="2022-03-07T00:00:00"/>
    <x v="1"/>
    <s v="Stown"/>
    <s v="Lars"/>
    <n v="980.71"/>
    <n v="973.85"/>
    <n v="60.2"/>
    <n v="15.5"/>
    <s v="y"/>
    <n v="6.38"/>
    <x v="2"/>
    <x v="4"/>
    <n v="6213.1630000000005"/>
  </r>
  <r>
    <d v="2022-03-07T00:00:00"/>
    <x v="1"/>
    <s v="Stown"/>
    <s v="Lars"/>
    <n v="952.86"/>
    <n v="946.19"/>
    <n v="60.6"/>
    <n v="15.3"/>
    <s v="y"/>
    <n v="6.38"/>
    <x v="2"/>
    <x v="4"/>
    <n v="6036.6922000000004"/>
  </r>
  <r>
    <d v="2022-03-08T00:00:00"/>
    <x v="1"/>
    <s v="Stown"/>
    <s v="Lars"/>
    <n v="961.07"/>
    <n v="954.34"/>
    <n v="60.5"/>
    <n v="15.3"/>
    <s v="y"/>
    <n v="6.38"/>
    <x v="2"/>
    <x v="4"/>
    <n v="6088.6891999999998"/>
  </r>
  <r>
    <d v="2022-03-08T00:00:00"/>
    <x v="1"/>
    <s v="Stown"/>
    <s v="Lars"/>
    <n v="474.59"/>
    <n v="474.59"/>
    <n v="60.7"/>
    <n v="15"/>
    <s v="y"/>
    <n v="6.38"/>
    <x v="2"/>
    <x v="4"/>
    <n v="3027.8842"/>
  </r>
  <r>
    <d v="2022-03-08T00:00:00"/>
    <x v="1"/>
    <s v="Stown"/>
    <s v="Lars"/>
    <n v="518.62"/>
    <n v="518.62"/>
    <m/>
    <m/>
    <s v="y"/>
    <n v="7.05"/>
    <x v="2"/>
    <x v="4"/>
    <n v="3656.2709999999997"/>
  </r>
  <r>
    <d v="2022-03-08T00:00:00"/>
    <x v="1"/>
    <s v="Stown"/>
    <s v="Lars"/>
    <n v="484.77"/>
    <n v="481.3"/>
    <n v="60.3"/>
    <n v="15.2"/>
    <s v="y"/>
    <n v="7.05"/>
    <x v="2"/>
    <x v="4"/>
    <n v="3393.165"/>
  </r>
  <r>
    <d v="2022-03-08T00:00:00"/>
    <x v="1"/>
    <s v="Stown"/>
    <s v="Lars"/>
    <n v="476.66"/>
    <n v="473.32"/>
    <m/>
    <m/>
    <s v="y"/>
    <n v="7.57"/>
    <x v="2"/>
    <x v="4"/>
    <n v="3583.0324000000001"/>
  </r>
  <r>
    <d v="2022-05-26T00:00:00"/>
    <x v="1"/>
    <s v="Stown"/>
    <s v="Josh"/>
    <n v="1073.93"/>
    <n v="1073.93"/>
    <n v="60.2"/>
    <n v="15"/>
    <s v="y"/>
    <n v="8"/>
    <x v="2"/>
    <x v="4"/>
    <n v="8591.44"/>
  </r>
  <r>
    <d v="2022-05-27T00:00:00"/>
    <x v="1"/>
    <s v="Stown"/>
    <s v="Josh"/>
    <n v="1050.3599999999999"/>
    <n v="1050.3599999999999"/>
    <n v="60.4"/>
    <n v="15"/>
    <s v="y"/>
    <n v="8"/>
    <x v="2"/>
    <x v="4"/>
    <n v="8402.8799999999992"/>
  </r>
  <r>
    <d v="2022-05-28T00:00:00"/>
    <x v="1"/>
    <s v="Stown"/>
    <s v="Josh"/>
    <n v="1035"/>
    <n v="1035"/>
    <n v="59.9"/>
    <n v="14.4"/>
    <s v="y"/>
    <n v="8"/>
    <x v="2"/>
    <x v="4"/>
    <n v="8280"/>
  </r>
  <r>
    <d v="2022-05-29T00:00:00"/>
    <x v="1"/>
    <s v="Stown"/>
    <s v="Josh"/>
    <n v="1013.57"/>
    <n v="1013.57"/>
    <n v="60.3"/>
    <n v="15"/>
    <s v="y"/>
    <n v="8"/>
    <x v="2"/>
    <x v="4"/>
    <n v="8108.56"/>
  </r>
  <r>
    <d v="2022-05-30T00:00:00"/>
    <x v="1"/>
    <s v="Stown"/>
    <s v="Josh"/>
    <n v="832.97"/>
    <n v="827.14"/>
    <n v="60.1"/>
    <n v="15.2"/>
    <s v="y"/>
    <n v="8"/>
    <x v="2"/>
    <x v="4"/>
    <n v="6617.12"/>
  </r>
  <r>
    <d v="2022-05-31T00:00:00"/>
    <x v="1"/>
    <s v="Stown"/>
    <s v="Josh"/>
    <n v="144.16999999999999"/>
    <n v="143.16"/>
    <m/>
    <m/>
    <s v="y"/>
    <n v="8.08"/>
    <x v="2"/>
    <x v="4"/>
    <n v="1156.7328"/>
  </r>
  <r>
    <d v="2022-06-30T00:00:00"/>
    <x v="1"/>
    <s v="Stown"/>
    <s v="Josh"/>
    <n v="1058.93"/>
    <n v="1058.93"/>
    <n v="60.2"/>
    <n v="14.58"/>
    <s v="y"/>
    <n v="7.54"/>
    <x v="2"/>
    <x v="4"/>
    <n v="7984.3322000000007"/>
  </r>
  <r>
    <d v="2022-07-12T00:00:00"/>
    <x v="1"/>
    <s v="Stown"/>
    <s v="Josh"/>
    <n v="1122.5"/>
    <n v="1122.5"/>
    <n v="62.2"/>
    <n v="14.4"/>
    <s v="y"/>
    <n v="7.44"/>
    <x v="2"/>
    <x v="4"/>
    <n v="8351.4"/>
  </r>
  <r>
    <d v="2022-07-13T00:00:00"/>
    <x v="1"/>
    <s v="Stown"/>
    <s v="Josh"/>
    <n v="1067.5"/>
    <n v="1067.5"/>
    <n v="62.2"/>
    <n v="14"/>
    <s v="y"/>
    <n v="7.27"/>
    <x v="2"/>
    <x v="4"/>
    <n v="7760.7249999999995"/>
  </r>
  <r>
    <d v="2022-07-19T00:00:00"/>
    <x v="1"/>
    <s v="Stown"/>
    <s v="Josh"/>
    <n v="1121.07"/>
    <n v="1121.07"/>
    <n v="61.6"/>
    <n v="14"/>
    <s v="y"/>
    <n v="7"/>
    <x v="2"/>
    <x v="4"/>
    <n v="7847.49"/>
  </r>
  <r>
    <d v="2022-07-20T00:00:00"/>
    <x v="1"/>
    <s v="Stown"/>
    <s v="Josh"/>
    <n v="1133.21"/>
    <n v="1133.21"/>
    <n v="62.3"/>
    <n v="14"/>
    <s v="y"/>
    <n v="7"/>
    <x v="2"/>
    <x v="4"/>
    <n v="7932.47"/>
  </r>
  <r>
    <d v="2022-07-20T00:00:00"/>
    <x v="1"/>
    <s v="Stown"/>
    <s v="Josh"/>
    <n v="433.93"/>
    <n v="433.93"/>
    <n v="61.6"/>
    <n v="13"/>
    <s v="y"/>
    <n v="7"/>
    <x v="2"/>
    <x v="4"/>
    <n v="3037.51"/>
  </r>
  <r>
    <d v="2022-01-13T00:00:00"/>
    <x v="1"/>
    <s v="Stown"/>
    <s v="Lars"/>
    <n v="751"/>
    <n v="683.41"/>
    <n v="14.5"/>
    <n v="49.9"/>
    <s v="y"/>
    <n v="13"/>
    <x v="0"/>
    <x v="4"/>
    <n v="8884.33"/>
  </r>
  <r>
    <d v="2022-01-13T00:00:00"/>
    <x v="1"/>
    <s v="Stown"/>
    <s v="Lars"/>
    <n v="770.67"/>
    <n v="724.43"/>
    <n v="13.9"/>
    <n v="54.2"/>
    <s v="y"/>
    <n v="13"/>
    <x v="0"/>
    <x v="4"/>
    <n v="9417.59"/>
  </r>
  <r>
    <d v="2021-01-18T00:00:00"/>
    <x v="1"/>
    <s v="Stown"/>
    <s v="Josh"/>
    <n v="886.67"/>
    <n v="877.8"/>
    <n v="13.2"/>
    <n v="54.7"/>
    <s v="y"/>
    <n v="13"/>
    <x v="0"/>
    <x v="4"/>
    <n v="11411.4"/>
  </r>
  <r>
    <d v="2021-01-20T00:00:00"/>
    <x v="1"/>
    <s v="Stown"/>
    <s v="Lars"/>
    <n v="846"/>
    <n v="837.54"/>
    <n v="13.3"/>
    <n v="53.8"/>
    <s v="y"/>
    <n v="13"/>
    <x v="0"/>
    <x v="4"/>
    <n v="10888.02"/>
  </r>
  <r>
    <d v="2022-01-20T00:00:00"/>
    <x v="1"/>
    <s v="Stown"/>
    <s v="Lars"/>
    <n v="860.33"/>
    <n v="860.33"/>
    <n v="12.9"/>
    <n v="54.2"/>
    <s v="y"/>
    <n v="13"/>
    <x v="0"/>
    <x v="4"/>
    <n v="11184.29"/>
  </r>
  <r>
    <d v="2022-01-25T00:00:00"/>
    <x v="1"/>
    <s v="Stown"/>
    <s v="Case"/>
    <n v="826.67"/>
    <n v="826.67"/>
    <n v="13"/>
    <n v="54.3"/>
    <s v="y"/>
    <n v="13"/>
    <x v="0"/>
    <x v="4"/>
    <n v="10746.71"/>
  </r>
  <r>
    <d v="2022-01-25T00:00:00"/>
    <x v="1"/>
    <s v="Stown"/>
    <s v="Case"/>
    <n v="809"/>
    <n v="309.68"/>
    <n v="13.2"/>
    <n v="54.2"/>
    <s v="y"/>
    <n v="13"/>
    <x v="0"/>
    <x v="4"/>
    <n v="4025.84"/>
  </r>
  <r>
    <d v="2022-01-25T00:00:00"/>
    <x v="1"/>
    <s v="Stown"/>
    <m/>
    <m/>
    <n v="491.23"/>
    <m/>
    <m/>
    <s v="y"/>
    <n v="14.02"/>
    <x v="0"/>
    <x v="4"/>
    <n v="6887.0446000000002"/>
  </r>
  <r>
    <d v="2022-01-25T00:00:00"/>
    <x v="1"/>
    <s v="Stown"/>
    <s v="Case"/>
    <n v="842.67"/>
    <n v="842.67"/>
    <n v="12.7"/>
    <n v="54.2"/>
    <s v="y"/>
    <n v="14.02"/>
    <x v="0"/>
    <x v="4"/>
    <n v="11814.233399999999"/>
  </r>
  <r>
    <d v="2022-01-25T00:00:00"/>
    <x v="1"/>
    <s v="Stown"/>
    <s v="Case"/>
    <n v="847"/>
    <n v="847"/>
    <n v="12.7"/>
    <n v="54.9"/>
    <s v="y"/>
    <n v="14.02"/>
    <x v="0"/>
    <x v="4"/>
    <n v="11874.94"/>
  </r>
  <r>
    <d v="2022-02-01T00:00:00"/>
    <x v="1"/>
    <s v="Stown"/>
    <s v="Lars"/>
    <n v="848.67"/>
    <n v="848.67"/>
    <n v="12.7"/>
    <n v="54.2"/>
    <s v="y"/>
    <n v="14.02"/>
    <x v="0"/>
    <x v="4"/>
    <n v="11898.3534"/>
  </r>
  <r>
    <d v="2022-02-01T00:00:00"/>
    <x v="1"/>
    <s v="Stown"/>
    <s v="Case"/>
    <n v="849.33"/>
    <n v="849.33"/>
    <n v="12.8"/>
    <n v="54.3"/>
    <s v="y"/>
    <n v="14.02"/>
    <x v="0"/>
    <x v="4"/>
    <n v="11907.606600000001"/>
  </r>
  <r>
    <d v="2022-02-01T00:00:00"/>
    <x v="1"/>
    <s v="Stown"/>
    <s v="Lars"/>
    <n v="862.67"/>
    <n v="862.67"/>
    <n v="12.2"/>
    <n v="54.4"/>
    <s v="y"/>
    <n v="14.02"/>
    <x v="0"/>
    <x v="4"/>
    <n v="12094.633399999999"/>
  </r>
  <r>
    <d v="2022-02-01T00:00:00"/>
    <x v="1"/>
    <s v="Stown"/>
    <s v="Case"/>
    <s v="1618.24-2"/>
    <n v="258.43"/>
    <n v="12.2"/>
    <n v="55.7"/>
    <s v="y"/>
    <n v="14.02"/>
    <x v="0"/>
    <x v="4"/>
    <n v="3623.1886"/>
  </r>
  <r>
    <d v="2022-02-01T00:00:00"/>
    <x v="1"/>
    <s v="Stown"/>
    <m/>
    <m/>
    <n v="503.81"/>
    <m/>
    <m/>
    <s v="y"/>
    <n v="13.51"/>
    <x v="0"/>
    <x v="4"/>
    <n v="6806.4731000000002"/>
  </r>
  <r>
    <d v="2022-02-01T00:00:00"/>
    <x v="1"/>
    <s v="Stown"/>
    <s v="Case"/>
    <s v="1618.24-2"/>
    <n v="856"/>
    <m/>
    <m/>
    <s v="y"/>
    <n v="13.51"/>
    <x v="0"/>
    <x v="4"/>
    <n v="11564.56"/>
  </r>
  <r>
    <d v="2022-02-01T00:00:00"/>
    <x v="1"/>
    <s v="Stown"/>
    <s v="Lars"/>
    <n v="850.33"/>
    <n v="850.33"/>
    <n v="12.3"/>
    <n v="55.4"/>
    <s v="y"/>
    <n v="13.51"/>
    <x v="0"/>
    <x v="4"/>
    <n v="11487.9583"/>
  </r>
  <r>
    <d v="2022-02-01T00:00:00"/>
    <x v="1"/>
    <s v="Stown"/>
    <s v="Case"/>
    <s v="1618.24-2"/>
    <n v="809.12"/>
    <m/>
    <m/>
    <s v="y"/>
    <m/>
    <x v="0"/>
    <x v="4"/>
    <n v="0"/>
  </r>
  <r>
    <d v="2022-02-01T00:00:00"/>
    <x v="1"/>
    <s v="Stown"/>
    <s v="Lars"/>
    <n v="874.67"/>
    <n v="874.67"/>
    <n v="12"/>
    <n v="55.5"/>
    <s v="y"/>
    <n v="13.51"/>
    <x v="0"/>
    <x v="4"/>
    <n v="11816.7917"/>
  </r>
  <r>
    <d v="2022-02-09T00:00:00"/>
    <x v="1"/>
    <s v="Stown"/>
    <s v="Lars"/>
    <n v="769.67"/>
    <n v="768.13"/>
    <n v="11.8"/>
    <n v="55.4"/>
    <s v="y"/>
    <n v="13.51"/>
    <x v="0"/>
    <x v="4"/>
    <n v="10377.436299999999"/>
  </r>
  <r>
    <d v="2022-02-09T00:00:00"/>
    <x v="1"/>
    <s v="Stown"/>
    <s v="Lars"/>
    <n v="826"/>
    <n v="147.06"/>
    <n v="11.4"/>
    <n v="55.3"/>
    <s v="y"/>
    <n v="13.51"/>
    <x v="0"/>
    <x v="4"/>
    <n v="1986.7806"/>
  </r>
  <r>
    <d v="2022-02-09T00:00:00"/>
    <x v="1"/>
    <s v="Stown"/>
    <m/>
    <m/>
    <n v="678.94"/>
    <m/>
    <m/>
    <s v="y"/>
    <n v="13.8"/>
    <x v="0"/>
    <x v="4"/>
    <n v="9369.3720000000012"/>
  </r>
  <r>
    <d v="2022-02-09T00:00:00"/>
    <x v="1"/>
    <s v="Stown"/>
    <s v="Lars"/>
    <n v="785"/>
    <n v="785"/>
    <n v="11.4"/>
    <n v="55.3"/>
    <s v="y"/>
    <n v="13.8"/>
    <x v="0"/>
    <x v="4"/>
    <n v="10833"/>
  </r>
  <r>
    <d v="2022-02-09T00:00:00"/>
    <x v="1"/>
    <s v="Stown"/>
    <s v="Lars"/>
    <n v="813.67"/>
    <n v="813.67"/>
    <n v="11.2"/>
    <n v="53.4"/>
    <s v="y"/>
    <n v="13.8"/>
    <x v="0"/>
    <x v="4"/>
    <n v="11228.646000000001"/>
  </r>
  <r>
    <d v="2022-02-10T00:00:00"/>
    <x v="1"/>
    <s v="Stown"/>
    <s v="Lars"/>
    <n v="832"/>
    <n v="722.39"/>
    <n v="11.2"/>
    <n v="55.5"/>
    <s v="y"/>
    <n v="13.8"/>
    <x v="0"/>
    <x v="4"/>
    <n v="9968.982"/>
  </r>
  <r>
    <d v="2022-02-10T00:00:00"/>
    <x v="1"/>
    <s v="Stown"/>
    <m/>
    <m/>
    <n v="109.61"/>
    <m/>
    <m/>
    <s v="y"/>
    <n v="14.51"/>
    <x v="0"/>
    <x v="4"/>
    <n v="1590.4411"/>
  </r>
  <r>
    <d v="2022-02-10T00:00:00"/>
    <x v="1"/>
    <s v="Stown"/>
    <s v="Lars"/>
    <n v="832.67"/>
    <n v="832.67"/>
    <n v="11"/>
    <n v="55.7"/>
    <s v="y"/>
    <n v="14.51"/>
    <x v="0"/>
    <x v="4"/>
    <n v="12082.0417"/>
  </r>
  <r>
    <d v="2022-02-10T00:00:00"/>
    <x v="1"/>
    <s v="MTV CGB"/>
    <s v="Lars"/>
    <n v="876"/>
    <n v="876"/>
    <n v="11.5"/>
    <n v="55"/>
    <s v="y"/>
    <n v="15"/>
    <x v="0"/>
    <x v="4"/>
    <n v="13140"/>
  </r>
  <r>
    <d v="2022-02-11T00:00:00"/>
    <x v="1"/>
    <s v="MTV CGB"/>
    <s v="Lars"/>
    <n v="879.33"/>
    <n v="879.33"/>
    <n v="11.3"/>
    <n v="55.5"/>
    <s v="y"/>
    <n v="15"/>
    <x v="0"/>
    <x v="4"/>
    <n v="13189.95"/>
  </r>
  <r>
    <d v="2022-02-14T00:00:00"/>
    <x v="1"/>
    <s v="Stown"/>
    <s v="Lars"/>
    <n v="853.33"/>
    <n v="853.33"/>
    <n v="11.2"/>
    <n v="55.7"/>
    <s v="y"/>
    <n v="14.51"/>
    <x v="0"/>
    <x v="4"/>
    <n v="12381.818300000001"/>
  </r>
  <r>
    <d v="2022-02-14T00:00:00"/>
    <x v="1"/>
    <s v="MTV CGB"/>
    <s v="Lars"/>
    <n v="877.67"/>
    <n v="877.67"/>
    <n v="11.4"/>
    <n v="55.2"/>
    <s v="y"/>
    <n v="15"/>
    <x v="0"/>
    <x v="4"/>
    <n v="13165.05"/>
  </r>
  <r>
    <d v="2022-02-14T00:00:00"/>
    <x v="1"/>
    <s v="MTV CGB"/>
    <s v="Lars"/>
    <n v="883.33"/>
    <n v="883.33"/>
    <n v="11.3"/>
    <n v="54.9"/>
    <s v="y"/>
    <n v="15"/>
    <x v="0"/>
    <x v="4"/>
    <n v="13249.95"/>
  </r>
  <r>
    <d v="2022-02-15T00:00:00"/>
    <x v="1"/>
    <s v="MTV CGB"/>
    <s v="Lars"/>
    <n v="851.67"/>
    <n v="851.67"/>
    <n v="11.4"/>
    <n v="55.4"/>
    <s v="y"/>
    <n v="15"/>
    <x v="0"/>
    <x v="4"/>
    <n v="12775.05"/>
  </r>
  <r>
    <d v="2022-02-15T00:00:00"/>
    <x v="1"/>
    <s v="MTV CGB"/>
    <s v="Lars"/>
    <n v="865.67"/>
    <n v="632"/>
    <n v="11.5"/>
    <n v="55.4"/>
    <s v="y"/>
    <n v="15"/>
    <x v="0"/>
    <x v="4"/>
    <n v="9480"/>
  </r>
  <r>
    <d v="2022-02-15T00:00:00"/>
    <x v="1"/>
    <s v="MTV CGB"/>
    <m/>
    <m/>
    <n v="233.67"/>
    <m/>
    <m/>
    <s v="y"/>
    <n v="15.77"/>
    <x v="0"/>
    <x v="4"/>
    <n v="3684.9758999999999"/>
  </r>
  <r>
    <d v="2022-02-15T00:00:00"/>
    <x v="1"/>
    <s v="Stown"/>
    <s v="Lars"/>
    <n v="875"/>
    <n v="875"/>
    <n v="11.2"/>
    <n v="55.2"/>
    <s v="y"/>
    <n v="14.51"/>
    <x v="0"/>
    <x v="4"/>
    <n v="12696.25"/>
  </r>
  <r>
    <d v="2022-02-16T00:00:00"/>
    <x v="1"/>
    <s v="Stown"/>
    <s v="Lars"/>
    <n v="880"/>
    <n v="880"/>
    <n v="11"/>
    <n v="55.6"/>
    <s v="y"/>
    <n v="14.51"/>
    <x v="0"/>
    <x v="4"/>
    <n v="12768.8"/>
  </r>
  <r>
    <d v="2022-02-16T00:00:00"/>
    <x v="1"/>
    <s v="Stown"/>
    <s v="Lars"/>
    <n v="888"/>
    <n v="888"/>
    <n v="11"/>
    <n v="55.3"/>
    <s v="y"/>
    <n v="14.51"/>
    <x v="0"/>
    <x v="4"/>
    <n v="12884.88"/>
  </r>
  <r>
    <d v="2022-02-16T00:00:00"/>
    <x v="1"/>
    <s v="Stown"/>
    <s v="Lars"/>
    <n v="895.67"/>
    <n v="561.39"/>
    <n v="10.8"/>
    <n v="55.7"/>
    <s v="y"/>
    <n v="14.51"/>
    <x v="0"/>
    <x v="4"/>
    <n v="8145.7689"/>
  </r>
  <r>
    <d v="2020-02-16T00:00:00"/>
    <x v="1"/>
    <s v="Stown"/>
    <m/>
    <m/>
    <n v="334.28"/>
    <m/>
    <m/>
    <s v="y"/>
    <n v="13.08"/>
    <x v="0"/>
    <x v="4"/>
    <n v="4372.3823999999995"/>
  </r>
  <r>
    <d v="2022-02-16T00:00:00"/>
    <x v="1"/>
    <s v="Stown"/>
    <s v="Lars"/>
    <n v="314"/>
    <n v="314"/>
    <n v="10.9"/>
    <n v="54.7"/>
    <s v="y"/>
    <n v="13.08"/>
    <x v="0"/>
    <x v="4"/>
    <n v="4107.12"/>
  </r>
  <r>
    <d v="2021-09-03T00:00:00"/>
    <x v="9"/>
    <s v="Stown"/>
    <s v="Lars"/>
    <n v="926"/>
    <n v="926"/>
    <m/>
    <n v="13"/>
    <m/>
    <m/>
    <x v="0"/>
    <x v="4"/>
    <n v="0"/>
  </r>
  <r>
    <d v="2021-09-03T00:00:00"/>
    <x v="9"/>
    <s v="Stown"/>
    <s v="Lars"/>
    <n v="807.67"/>
    <n v="807.67"/>
    <m/>
    <n v="12.4"/>
    <m/>
    <m/>
    <x v="0"/>
    <x v="4"/>
    <n v="0"/>
  </r>
  <r>
    <d v="2021-09-08T00:00:00"/>
    <x v="9"/>
    <s v="Stown"/>
    <s v="Lars"/>
    <n v="892.67"/>
    <n v="892.67"/>
    <m/>
    <n v="11.7"/>
    <m/>
    <m/>
    <x v="0"/>
    <x v="4"/>
    <n v="0"/>
  </r>
  <r>
    <d v="2021-09-08T00:00:00"/>
    <x v="9"/>
    <s v="Stown"/>
    <s v="Lars"/>
    <n v="876"/>
    <n v="876"/>
    <m/>
    <n v="11.5"/>
    <m/>
    <m/>
    <x v="0"/>
    <x v="4"/>
    <n v="0"/>
  </r>
  <r>
    <d v="2021-09-08T00:00:00"/>
    <x v="9"/>
    <s v="Stown"/>
    <s v="Lars"/>
    <n v="898.67"/>
    <n v="898.67"/>
    <m/>
    <n v="11.2"/>
    <m/>
    <m/>
    <x v="0"/>
    <x v="4"/>
    <n v="0"/>
  </r>
  <r>
    <d v="2021-12-03T00:00:00"/>
    <x v="5"/>
    <s v="Stown"/>
    <s v="Lars"/>
    <n v="899.67"/>
    <n v="890.67"/>
    <n v="52.1"/>
    <n v="13.3"/>
    <s v="y"/>
    <n v="14.52"/>
    <x v="0"/>
    <x v="4"/>
    <n v="12932.528399999999"/>
  </r>
  <r>
    <d v="2021-12-03T00:00:00"/>
    <x v="5"/>
    <s v="Stown"/>
    <s v="Lars"/>
    <n v="934.33"/>
    <n v="934.33"/>
    <n v="54.2"/>
    <n v="13"/>
    <s v="y"/>
    <n v="14.52"/>
    <x v="0"/>
    <x v="4"/>
    <n v="13566.471600000001"/>
  </r>
  <r>
    <d v="2021-12-03T00:00:00"/>
    <x v="5"/>
    <s v="Stown"/>
    <s v="Lars"/>
    <n v="934.67"/>
    <n v="934.67"/>
    <n v="54.2"/>
    <n v="13"/>
    <s v="y"/>
    <n v="14.52"/>
    <x v="0"/>
    <x v="4"/>
    <n v="13571.408399999998"/>
  </r>
  <r>
    <d v="2021-12-03T00:00:00"/>
    <x v="5"/>
    <s v="Stown"/>
    <s v="Lars"/>
    <n v="921.67"/>
    <n v="579.33000000000004"/>
    <n v="54.2"/>
    <n v="12.9"/>
    <s v="y"/>
    <n v="14.52"/>
    <x v="0"/>
    <x v="4"/>
    <n v="8411.8716000000004"/>
  </r>
  <r>
    <d v="2021-12-03T00:00:00"/>
    <x v="5"/>
    <m/>
    <m/>
    <m/>
    <n v="342.34"/>
    <m/>
    <m/>
    <s v="y"/>
    <n v="13.04"/>
    <x v="0"/>
    <x v="4"/>
    <n v="4464.1135999999997"/>
  </r>
  <r>
    <d v="2021-12-14T00:00:00"/>
    <x v="5"/>
    <s v="Stown"/>
    <s v="Lars"/>
    <n v="900.33"/>
    <n v="900.33"/>
    <n v="52.1"/>
    <n v="13"/>
    <s v="y"/>
    <n v="13.04"/>
    <x v="0"/>
    <x v="4"/>
    <n v="11740.3032"/>
  </r>
  <r>
    <d v="2021-12-14T00:00:00"/>
    <x v="5"/>
    <s v="Stown"/>
    <s v="Lars"/>
    <n v="887.33"/>
    <n v="887.33"/>
    <n v="54.2"/>
    <n v="13"/>
    <s v="y"/>
    <n v="13.04"/>
    <x v="0"/>
    <x v="4"/>
    <n v="11570.7832"/>
  </r>
  <r>
    <d v="2021-12-14T00:00:00"/>
    <x v="5"/>
    <s v="Stown"/>
    <s v="Lars"/>
    <n v="892.67"/>
    <n v="892.67"/>
    <n v="51"/>
    <n v="12.8"/>
    <s v="y"/>
    <n v="13.04"/>
    <x v="0"/>
    <x v="4"/>
    <n v="11640.416799999999"/>
  </r>
  <r>
    <d v="2021-12-14T00:00:00"/>
    <x v="5"/>
    <s v="Stown"/>
    <s v="Lars"/>
    <n v="895.33"/>
    <n v="895.33"/>
    <n v="54.2"/>
    <n v="12.9"/>
    <s v="y"/>
    <n v="13.04"/>
    <x v="0"/>
    <x v="4"/>
    <n v="11675.1032"/>
  </r>
  <r>
    <d v="2021-12-14T00:00:00"/>
    <x v="5"/>
    <s v="Stown"/>
    <s v="Lars"/>
    <n v="915.67"/>
    <n v="915.67"/>
    <n v="54.2"/>
    <n v="12.9"/>
    <s v="y"/>
    <n v="13.04"/>
    <x v="0"/>
    <x v="4"/>
    <n v="11940.336799999999"/>
  </r>
  <r>
    <d v="2022-12-29T00:00:00"/>
    <x v="5"/>
    <s v="Stown"/>
    <s v="Lars"/>
    <n v="876.33"/>
    <n v="867.57"/>
    <n v="54.2"/>
    <n v="13.2"/>
    <s v="y"/>
    <n v="13"/>
    <x v="0"/>
    <x v="4"/>
    <n v="11278.41"/>
  </r>
  <r>
    <d v="2022-12-29T00:00:00"/>
    <x v="5"/>
    <s v="Stown"/>
    <s v="Lars"/>
    <n v="883"/>
    <n v="883"/>
    <n v="52.5"/>
    <n v="13"/>
    <s v="y"/>
    <n v="13"/>
    <x v="0"/>
    <x v="4"/>
    <n v="11479"/>
  </r>
  <r>
    <d v="2022-12-29T00:00:00"/>
    <x v="5"/>
    <s v="Stown"/>
    <s v="Lars"/>
    <n v="875.33"/>
    <n v="866.58"/>
    <n v="52.4"/>
    <n v="13.2"/>
    <s v="y"/>
    <n v="13"/>
    <x v="0"/>
    <x v="4"/>
    <n v="11265.54"/>
  </r>
  <r>
    <d v="2022-12-29T00:00:00"/>
    <x v="5"/>
    <s v="Stown"/>
    <s v="Lars"/>
    <n v="847"/>
    <n v="847"/>
    <n v="54.2"/>
    <n v="13"/>
    <s v="y"/>
    <n v="13"/>
    <x v="0"/>
    <x v="4"/>
    <n v="11011"/>
  </r>
  <r>
    <d v="2022-01-03T00:00:00"/>
    <x v="5"/>
    <s v="Stown"/>
    <s v="Lars"/>
    <n v="794.33"/>
    <n v="535.85"/>
    <n v="52.7"/>
    <n v="12.8"/>
    <s v="y"/>
    <n v="13"/>
    <x v="0"/>
    <x v="4"/>
    <n v="6966.05"/>
  </r>
  <r>
    <d v="2022-01-03T00:00:00"/>
    <x v="5"/>
    <m/>
    <m/>
    <m/>
    <n v="258.48"/>
    <m/>
    <m/>
    <s v="y"/>
    <n v="13"/>
    <x v="0"/>
    <x v="4"/>
    <n v="3360.2400000000002"/>
  </r>
  <r>
    <d v="2022-01-03T00:00:00"/>
    <x v="5"/>
    <s v="Stown"/>
    <s v="Lars"/>
    <n v="814.33"/>
    <n v="814.33"/>
    <n v="52.5"/>
    <n v="12.5"/>
    <s v="y"/>
    <n v="13"/>
    <x v="0"/>
    <x v="4"/>
    <n v="10586.29"/>
  </r>
  <r>
    <d v="2022-01-03T00:00:00"/>
    <x v="5"/>
    <s v="Stown"/>
    <s v="Lars"/>
    <n v="807.33"/>
    <n v="807.33"/>
    <n v="52.1"/>
    <n v="12.5"/>
    <s v="y"/>
    <n v="13"/>
    <x v="0"/>
    <x v="4"/>
    <n v="10495.29"/>
  </r>
  <r>
    <d v="2022-01-04T00:00:00"/>
    <x v="5"/>
    <s v="Stown"/>
    <s v="Lars"/>
    <n v="822.67"/>
    <n v="822.67"/>
    <n v="54.2"/>
    <n v="12.8"/>
    <s v="y"/>
    <n v="13.9"/>
    <x v="0"/>
    <x v="4"/>
    <n v="11435.112999999999"/>
  </r>
  <r>
    <d v="2022-01-04T00:00:00"/>
    <x v="5"/>
    <s v="Stown"/>
    <s v="Lars"/>
    <n v="659.33"/>
    <n v="659.33"/>
    <n v="54.2"/>
    <n v="12.3"/>
    <s v="y"/>
    <n v="13.9"/>
    <x v="0"/>
    <x v="4"/>
    <n v="9164.6869999999999"/>
  </r>
  <r>
    <d v="2021-09-08T00:00:00"/>
    <x v="6"/>
    <s v="Stown"/>
    <s v="Lars"/>
    <n v="924"/>
    <n v="924"/>
    <n v="57.3"/>
    <n v="10.4"/>
    <m/>
    <m/>
    <x v="0"/>
    <x v="4"/>
    <n v="0"/>
  </r>
  <r>
    <d v="2021-09-08T00:00:00"/>
    <x v="6"/>
    <s v="Stown"/>
    <s v="Lars"/>
    <n v="983.67"/>
    <n v="983.67"/>
    <n v="55.3"/>
    <n v="10.4"/>
    <m/>
    <m/>
    <x v="0"/>
    <x v="4"/>
    <n v="0"/>
  </r>
  <r>
    <d v="2021-09-09T00:00:00"/>
    <x v="6"/>
    <s v="Stown"/>
    <s v="Lars"/>
    <n v="863.67"/>
    <n v="863.67"/>
    <n v="56.7"/>
    <n v="10.199999999999999"/>
    <m/>
    <m/>
    <x v="0"/>
    <x v="4"/>
    <n v="0"/>
  </r>
  <r>
    <m/>
    <x v="10"/>
    <m/>
    <m/>
    <m/>
    <m/>
    <m/>
    <m/>
    <m/>
    <m/>
    <x v="3"/>
    <x v="5"/>
    <m/>
  </r>
  <r>
    <m/>
    <x v="10"/>
    <m/>
    <m/>
    <m/>
    <m/>
    <m/>
    <m/>
    <m/>
    <m/>
    <x v="3"/>
    <x v="5"/>
    <m/>
  </r>
  <r>
    <m/>
    <x v="10"/>
    <m/>
    <m/>
    <m/>
    <m/>
    <m/>
    <m/>
    <m/>
    <m/>
    <x v="3"/>
    <x v="5"/>
    <m/>
  </r>
  <r>
    <m/>
    <x v="10"/>
    <m/>
    <m/>
    <m/>
    <m/>
    <m/>
    <m/>
    <m/>
    <m/>
    <x v="3"/>
    <x v="5"/>
    <m/>
  </r>
  <r>
    <m/>
    <x v="10"/>
    <m/>
    <m/>
    <m/>
    <m/>
    <m/>
    <m/>
    <m/>
    <m/>
    <x v="3"/>
    <x v="5"/>
    <m/>
  </r>
  <r>
    <m/>
    <x v="10"/>
    <m/>
    <m/>
    <m/>
    <m/>
    <m/>
    <m/>
    <m/>
    <m/>
    <x v="3"/>
    <x v="5"/>
    <m/>
  </r>
  <r>
    <m/>
    <x v="10"/>
    <m/>
    <m/>
    <m/>
    <m/>
    <m/>
    <m/>
    <m/>
    <m/>
    <x v="3"/>
    <x v="5"/>
    <m/>
  </r>
  <r>
    <m/>
    <x v="10"/>
    <m/>
    <m/>
    <m/>
    <m/>
    <m/>
    <m/>
    <m/>
    <m/>
    <x v="3"/>
    <x v="5"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A0D899-3973-4195-A782-90108934E56A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>
  <location ref="A3:D20" firstHeaderRow="0" firstDataRow="1" firstDataCol="1" rowPageCount="1" colPageCount="1"/>
  <pivotFields count="13">
    <pivotField showAll="0"/>
    <pivotField axis="axisRow" showAll="0">
      <items count="12">
        <item x="2"/>
        <item x="1"/>
        <item x="0"/>
        <item x="3"/>
        <item x="4"/>
        <item x="5"/>
        <item x="6"/>
        <item x="7"/>
        <item x="8"/>
        <item x="9"/>
        <item x="1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axis="axisRow" showAll="0">
      <items count="6">
        <item x="0"/>
        <item x="2"/>
        <item x="1"/>
        <item m="1" x="4"/>
        <item x="3"/>
        <item t="default"/>
      </items>
    </pivotField>
    <pivotField axis="axisPage" dataField="1" showAll="0">
      <items count="7">
        <item x="1"/>
        <item x="2"/>
        <item x="3"/>
        <item x="4"/>
        <item x="0"/>
        <item x="5"/>
        <item t="default"/>
      </items>
    </pivotField>
    <pivotField dataField="1" showAll="0"/>
  </pivotFields>
  <rowFields count="2">
    <field x="10"/>
    <field x="1"/>
  </rowFields>
  <rowItems count="17">
    <i>
      <x/>
    </i>
    <i r="1">
      <x/>
    </i>
    <i r="1">
      <x v="1"/>
    </i>
    <i r="1">
      <x v="2"/>
    </i>
    <i r="1">
      <x v="3"/>
    </i>
    <i r="1">
      <x v="5"/>
    </i>
    <i r="1">
      <x v="6"/>
    </i>
    <i r="1">
      <x v="8"/>
    </i>
    <i r="1">
      <x v="9"/>
    </i>
    <i>
      <x v="1"/>
    </i>
    <i r="1">
      <x v="1"/>
    </i>
    <i r="1">
      <x v="2"/>
    </i>
    <i r="1">
      <x v="4"/>
    </i>
    <i>
      <x v="2"/>
    </i>
    <i r="1">
      <x v="3"/>
    </i>
    <i r="1">
      <x v="7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1" item="3" hier="-1"/>
  </pageFields>
  <dataFields count="3">
    <dataField name="Sum of Season" fld="11" baseField="0" baseItem="0"/>
    <dataField name="Sum of Net Bu" fld="5" baseField="0" baseItem="0"/>
    <dataField name="Sum of Total Sale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B725E0C-4D86-4D5A-BAAD-DE74BEDB618E}" name="Table3" displayName="Table3" ref="B2:N451" totalsRowShown="0" headerRowDxfId="3" tableBorderDxfId="2">
  <autoFilter ref="B2:N451" xr:uid="{AB725E0C-4D86-4D5A-BAAD-DE74BEDB618E}"/>
  <tableColumns count="13">
    <tableColumn id="1" xr3:uid="{F8682060-4DB2-479D-A0D5-33C9EF70AB31}" name="Date" dataDxfId="1"/>
    <tableColumn id="2" xr3:uid="{91DB97A1-A5D7-4000-90BF-D5525F58B443}" name="Farm"/>
    <tableColumn id="3" xr3:uid="{570669B5-E2EA-47EC-A4EC-A019F6DB8708}" name="Elevator"/>
    <tableColumn id="4" xr3:uid="{0CD683E0-6FBA-4FCB-85A1-105F9D0117C4}" name="Driver"/>
    <tableColumn id="5" xr3:uid="{663A5D39-D6A3-4865-954D-62CB4E62BF46}" name="Gross Bu"/>
    <tableColumn id="6" xr3:uid="{4D8E3C4A-536E-4DB2-8318-E463CB20257C}" name="Net Bu"/>
    <tableColumn id="7" xr3:uid="{919BDBCF-4E82-49AC-8010-8B4A2A84F131}" name="Test Wt"/>
    <tableColumn id="8" xr3:uid="{AABE72AF-3A55-48C3-B548-1EE8E78C43A9}" name="Moisture"/>
    <tableColumn id="9" xr3:uid="{F36CA02F-5D44-4829-902B-534D62BAA415}" name="Paid"/>
    <tableColumn id="10" xr3:uid="{81C871E8-6018-4F13-BF4B-EA9D1DD40A7B}" name="Price" dataDxfId="0"/>
    <tableColumn id="11" xr3:uid="{E6CAEB77-9408-4841-94C7-F60B0590B376}" name="Crop"/>
    <tableColumn id="12" xr3:uid="{14A416AF-3FB6-41C5-9F05-361D30D81365}" name="Season"/>
    <tableColumn id="13" xr3:uid="{9472F6CF-47E1-4D80-9F80-CFD1D062CF90}" name="Total Sal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G34"/>
  <sheetViews>
    <sheetView showGridLines="0" tabSelected="1" workbookViewId="0">
      <selection activeCell="G27" sqref="G27"/>
    </sheetView>
  </sheetViews>
  <sheetFormatPr defaultRowHeight="15" x14ac:dyDescent="0.25"/>
  <cols>
    <col min="2" max="7" width="20.7109375" customWidth="1"/>
  </cols>
  <sheetData>
    <row r="1" spans="2:7" ht="15.75" thickBot="1" x14ac:dyDescent="0.3"/>
    <row r="2" spans="2:7" ht="35.1" customHeight="1" x14ac:dyDescent="0.45">
      <c r="B2" s="2" t="s">
        <v>63</v>
      </c>
      <c r="C2" s="3"/>
      <c r="D2" s="3"/>
      <c r="E2" s="3"/>
      <c r="F2" s="3"/>
      <c r="G2" s="4"/>
    </row>
    <row r="3" spans="2:7" x14ac:dyDescent="0.25">
      <c r="B3" s="7"/>
      <c r="C3" s="8"/>
      <c r="D3" s="8"/>
      <c r="E3" s="8"/>
      <c r="F3" s="8"/>
      <c r="G3" s="9"/>
    </row>
    <row r="4" spans="2:7" ht="24.95" customHeight="1" x14ac:dyDescent="0.3">
      <c r="B4" s="10" t="s">
        <v>0</v>
      </c>
      <c r="C4" s="15"/>
      <c r="D4" s="8"/>
      <c r="E4" s="11" t="s">
        <v>6</v>
      </c>
      <c r="F4" s="16"/>
      <c r="G4" s="9"/>
    </row>
    <row r="5" spans="2:7" ht="5.0999999999999996" customHeight="1" x14ac:dyDescent="0.3">
      <c r="B5" s="10"/>
      <c r="C5" s="8"/>
      <c r="D5" s="8"/>
      <c r="E5" s="11"/>
      <c r="F5" s="8"/>
      <c r="G5" s="9"/>
    </row>
    <row r="6" spans="2:7" ht="24.95" customHeight="1" x14ac:dyDescent="0.3">
      <c r="B6" s="10" t="s">
        <v>3</v>
      </c>
      <c r="C6" s="16"/>
      <c r="D6" s="8"/>
      <c r="E6" s="11" t="s">
        <v>7</v>
      </c>
      <c r="F6" s="16"/>
      <c r="G6" s="9"/>
    </row>
    <row r="7" spans="2:7" ht="5.0999999999999996" customHeight="1" x14ac:dyDescent="0.3">
      <c r="B7" s="10"/>
      <c r="C7" s="8"/>
      <c r="D7" s="8"/>
      <c r="E7" s="11"/>
      <c r="F7" s="8"/>
      <c r="G7" s="9"/>
    </row>
    <row r="8" spans="2:7" ht="24.95" customHeight="1" x14ac:dyDescent="0.3">
      <c r="B8" s="10" t="s">
        <v>2</v>
      </c>
      <c r="C8" s="16"/>
      <c r="D8" s="8"/>
      <c r="E8" s="11" t="s">
        <v>8</v>
      </c>
      <c r="F8" s="8"/>
      <c r="G8" s="9"/>
    </row>
    <row r="9" spans="2:7" ht="5.0999999999999996" customHeight="1" x14ac:dyDescent="0.3">
      <c r="B9" s="10"/>
      <c r="C9" s="8" t="s">
        <v>14</v>
      </c>
      <c r="D9" s="8"/>
      <c r="E9" s="11"/>
      <c r="F9" s="8"/>
      <c r="G9" s="9"/>
    </row>
    <row r="10" spans="2:7" ht="24.95" customHeight="1" x14ac:dyDescent="0.3">
      <c r="B10" s="10" t="s">
        <v>1</v>
      </c>
      <c r="C10" s="16"/>
      <c r="D10" s="8"/>
      <c r="E10" s="11" t="s">
        <v>9</v>
      </c>
      <c r="F10" s="22"/>
      <c r="G10" s="9"/>
    </row>
    <row r="11" spans="2:7" ht="5.0999999999999996" customHeight="1" x14ac:dyDescent="0.3">
      <c r="B11" s="10"/>
      <c r="C11" s="8"/>
      <c r="D11" s="8"/>
      <c r="E11" s="11"/>
      <c r="F11" s="8">
        <v>5.89</v>
      </c>
      <c r="G11" s="9"/>
    </row>
    <row r="12" spans="2:7" ht="24.95" customHeight="1" x14ac:dyDescent="0.3">
      <c r="B12" s="10" t="s">
        <v>4</v>
      </c>
      <c r="C12" s="16"/>
      <c r="D12" s="8"/>
      <c r="E12" s="11" t="s">
        <v>11</v>
      </c>
      <c r="F12" s="16"/>
      <c r="G12" s="9"/>
    </row>
    <row r="13" spans="2:7" ht="5.0999999999999996" customHeight="1" x14ac:dyDescent="0.3">
      <c r="B13" s="10"/>
      <c r="C13" s="8"/>
      <c r="D13" s="8"/>
      <c r="E13" s="8"/>
      <c r="F13" s="8" t="s">
        <v>30</v>
      </c>
      <c r="G13" s="9"/>
    </row>
    <row r="14" spans="2:7" ht="24.95" customHeight="1" x14ac:dyDescent="0.3">
      <c r="B14" s="10" t="s">
        <v>5</v>
      </c>
      <c r="C14" s="16"/>
      <c r="D14" s="8"/>
      <c r="E14" s="11" t="s">
        <v>10</v>
      </c>
      <c r="F14" s="16"/>
      <c r="G14" s="9"/>
    </row>
    <row r="15" spans="2:7" ht="5.0999999999999996" customHeight="1" x14ac:dyDescent="0.25">
      <c r="B15" s="7"/>
      <c r="C15" s="8"/>
      <c r="D15" s="8"/>
      <c r="E15" s="8"/>
      <c r="F15" s="8"/>
      <c r="G15" s="9"/>
    </row>
    <row r="16" spans="2:7" ht="24.95" customHeight="1" x14ac:dyDescent="0.3">
      <c r="B16" s="7"/>
      <c r="C16" s="8"/>
      <c r="D16" s="8"/>
      <c r="E16" s="11" t="s">
        <v>31</v>
      </c>
      <c r="F16" s="22">
        <f>C14*F10</f>
        <v>0</v>
      </c>
      <c r="G16" s="9"/>
    </row>
    <row r="17" spans="2:7" x14ac:dyDescent="0.25">
      <c r="B17" s="7"/>
      <c r="C17" s="8"/>
      <c r="D17" s="8"/>
      <c r="E17" s="8"/>
      <c r="F17" s="8"/>
      <c r="G17" s="9"/>
    </row>
    <row r="18" spans="2:7" ht="15.75" thickBot="1" x14ac:dyDescent="0.3">
      <c r="B18" s="12"/>
      <c r="C18" s="13"/>
      <c r="D18" s="13"/>
      <c r="E18" s="13"/>
      <c r="F18" s="13"/>
      <c r="G18" s="14"/>
    </row>
    <row r="19" spans="2:7" ht="18.75" x14ac:dyDescent="0.3">
      <c r="F19" s="1"/>
    </row>
    <row r="20" spans="2:7" x14ac:dyDescent="0.25">
      <c r="C20" s="27"/>
      <c r="D20" s="27"/>
      <c r="E20" s="27"/>
    </row>
    <row r="21" spans="2:7" x14ac:dyDescent="0.25">
      <c r="C21" s="27" t="s">
        <v>0</v>
      </c>
      <c r="D21" s="28">
        <f>C4</f>
        <v>0</v>
      </c>
      <c r="E21" s="27"/>
    </row>
    <row r="22" spans="2:7" x14ac:dyDescent="0.25">
      <c r="C22" s="27" t="s">
        <v>3</v>
      </c>
      <c r="D22" s="27">
        <f>C6</f>
        <v>0</v>
      </c>
      <c r="E22" s="27"/>
    </row>
    <row r="23" spans="2:7" x14ac:dyDescent="0.25">
      <c r="C23" s="27" t="s">
        <v>2</v>
      </c>
      <c r="D23" s="27">
        <f>C8</f>
        <v>0</v>
      </c>
      <c r="E23" s="27"/>
    </row>
    <row r="24" spans="2:7" x14ac:dyDescent="0.25">
      <c r="C24" s="27" t="s">
        <v>1</v>
      </c>
      <c r="D24" s="27">
        <f>C10</f>
        <v>0</v>
      </c>
      <c r="E24" s="27"/>
    </row>
    <row r="25" spans="2:7" x14ac:dyDescent="0.25">
      <c r="C25" s="27" t="s">
        <v>4</v>
      </c>
      <c r="D25" s="27">
        <f>C12</f>
        <v>0</v>
      </c>
      <c r="E25" s="27"/>
    </row>
    <row r="26" spans="2:7" x14ac:dyDescent="0.25">
      <c r="C26" s="27" t="s">
        <v>5</v>
      </c>
      <c r="D26" s="27">
        <f>C14</f>
        <v>0</v>
      </c>
      <c r="E26" s="27"/>
    </row>
    <row r="27" spans="2:7" x14ac:dyDescent="0.25">
      <c r="C27" s="27" t="s">
        <v>6</v>
      </c>
      <c r="D27" s="27">
        <f>F4</f>
        <v>0</v>
      </c>
      <c r="E27" s="27"/>
    </row>
    <row r="28" spans="2:7" x14ac:dyDescent="0.25">
      <c r="C28" s="27" t="s">
        <v>7</v>
      </c>
      <c r="D28" s="27">
        <f>F6</f>
        <v>0</v>
      </c>
      <c r="E28" s="27"/>
    </row>
    <row r="29" spans="2:7" x14ac:dyDescent="0.25">
      <c r="C29" s="27" t="s">
        <v>8</v>
      </c>
      <c r="D29" s="27" t="str">
        <f>IF(E29=1,"Paid","Not Paid")</f>
        <v>Not Paid</v>
      </c>
      <c r="E29" s="27">
        <v>2</v>
      </c>
    </row>
    <row r="30" spans="2:7" x14ac:dyDescent="0.25">
      <c r="C30" s="27" t="s">
        <v>9</v>
      </c>
      <c r="D30" s="29">
        <f>F10</f>
        <v>0</v>
      </c>
      <c r="E30" s="27"/>
    </row>
    <row r="31" spans="2:7" x14ac:dyDescent="0.25">
      <c r="C31" s="27" t="s">
        <v>11</v>
      </c>
      <c r="D31" s="27">
        <f>F12</f>
        <v>0</v>
      </c>
      <c r="E31" s="27"/>
    </row>
    <row r="32" spans="2:7" x14ac:dyDescent="0.25">
      <c r="C32" s="27" t="s">
        <v>10</v>
      </c>
      <c r="D32" s="27">
        <f>F14</f>
        <v>0</v>
      </c>
      <c r="E32" s="27"/>
    </row>
    <row r="33" spans="3:5" x14ac:dyDescent="0.25">
      <c r="C33" s="27" t="s">
        <v>32</v>
      </c>
      <c r="D33" s="29">
        <f>F16</f>
        <v>0</v>
      </c>
      <c r="E33" s="27"/>
    </row>
    <row r="34" spans="3:5" x14ac:dyDescent="0.25">
      <c r="C34" s="27"/>
      <c r="D34" s="27"/>
      <c r="E34" s="2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Option Button 1">
              <controlPr defaultSize="0" autoFill="0" autoLine="0" autoPict="0">
                <anchor moveWithCells="1">
                  <from>
                    <xdr:col>5</xdr:col>
                    <xdr:colOff>19050</xdr:colOff>
                    <xdr:row>7</xdr:row>
                    <xdr:rowOff>9525</xdr:rowOff>
                  </from>
                  <to>
                    <xdr:col>5</xdr:col>
                    <xdr:colOff>590550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Option Button 2">
              <controlPr defaultSize="0" autoFill="0" autoLine="0" autoPict="0">
                <anchor moveWithCells="1">
                  <from>
                    <xdr:col>5</xdr:col>
                    <xdr:colOff>561975</xdr:colOff>
                    <xdr:row>7</xdr:row>
                    <xdr:rowOff>9525</xdr:rowOff>
                  </from>
                  <to>
                    <xdr:col>5</xdr:col>
                    <xdr:colOff>1133475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5" name="Button 26">
              <controlPr defaultSize="0" print="0" autoFill="0" autoPict="0" macro="[0]!Automate">
                <anchor moveWithCells="1" sizeWithCells="1">
                  <from>
                    <xdr:col>1</xdr:col>
                    <xdr:colOff>342900</xdr:colOff>
                    <xdr:row>15</xdr:row>
                    <xdr:rowOff>76200</xdr:rowOff>
                  </from>
                  <to>
                    <xdr:col>3</xdr:col>
                    <xdr:colOff>447675</xdr:colOff>
                    <xdr:row>17</xdr:row>
                    <xdr:rowOff>38100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C4627A73-2E80-4288-9A34-C4FECD811886}">
          <x14:formula1>
            <xm:f>Lists!$B$3:$B$12</xm:f>
          </x14:formula1>
          <xm:sqref>C6</xm:sqref>
        </x14:dataValidation>
        <x14:dataValidation type="list" allowBlank="1" showInputMessage="1" showErrorMessage="1" xr:uid="{771D11F1-7EE4-443D-943C-0B32BF87A5B7}">
          <x14:formula1>
            <xm:f>Lists!$F$3:$F$4</xm:f>
          </x14:formula1>
          <xm:sqref>C8</xm:sqref>
        </x14:dataValidation>
        <x14:dataValidation type="list" allowBlank="1" showInputMessage="1" showErrorMessage="1" xr:uid="{12137D69-AAC0-4F2E-ABB0-0A9C4117FA15}">
          <x14:formula1>
            <xm:f>Lists!$D$3:$D$5</xm:f>
          </x14:formula1>
          <xm:sqref>F12</xm:sqref>
        </x14:dataValidation>
        <x14:dataValidation type="list" allowBlank="1" showInputMessage="1" showErrorMessage="1" xr:uid="{515FFF2E-25ED-4A0E-BF80-56CC7195923A}">
          <x14:formula1>
            <xm:f>Lists!$H$3:$H$9</xm:f>
          </x14:formula1>
          <xm:sqref>F14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CC109B-C076-4F39-B478-D888D7A9B8E2}">
  <dimension ref="A1:D20"/>
  <sheetViews>
    <sheetView workbookViewId="0">
      <selection activeCell="J12" sqref="J12"/>
    </sheetView>
  </sheetViews>
  <sheetFormatPr defaultRowHeight="15" x14ac:dyDescent="0.25"/>
  <cols>
    <col min="1" max="1" width="15.85546875" bestFit="1" customWidth="1"/>
    <col min="2" max="2" width="14" bestFit="1" customWidth="1"/>
    <col min="3" max="3" width="13.7109375" bestFit="1" customWidth="1"/>
    <col min="4" max="4" width="16.28515625" bestFit="1" customWidth="1"/>
  </cols>
  <sheetData>
    <row r="1" spans="1:4" x14ac:dyDescent="0.25">
      <c r="A1" s="23" t="s">
        <v>10</v>
      </c>
      <c r="B1" s="24">
        <v>2021</v>
      </c>
    </row>
    <row r="3" spans="1:4" x14ac:dyDescent="0.25">
      <c r="A3" s="23" t="s">
        <v>34</v>
      </c>
      <c r="B3" t="s">
        <v>33</v>
      </c>
      <c r="C3" t="s">
        <v>36</v>
      </c>
      <c r="D3" t="s">
        <v>37</v>
      </c>
    </row>
    <row r="4" spans="1:4" x14ac:dyDescent="0.25">
      <c r="A4" s="24" t="s">
        <v>15</v>
      </c>
      <c r="B4" s="30">
        <v>226352</v>
      </c>
      <c r="C4" s="30">
        <v>78593.765999999989</v>
      </c>
      <c r="D4" s="30">
        <v>911934.46285000024</v>
      </c>
    </row>
    <row r="5" spans="1:4" x14ac:dyDescent="0.25">
      <c r="A5" s="25" t="s">
        <v>26</v>
      </c>
      <c r="B5" s="30">
        <v>8084</v>
      </c>
      <c r="C5" s="30">
        <v>3349.33</v>
      </c>
      <c r="D5" s="30">
        <v>0</v>
      </c>
    </row>
    <row r="6" spans="1:4" x14ac:dyDescent="0.25">
      <c r="A6" s="25" t="s">
        <v>23</v>
      </c>
      <c r="B6" s="30">
        <v>82861</v>
      </c>
      <c r="C6" s="30">
        <v>28810.93</v>
      </c>
      <c r="D6" s="30">
        <v>391812.65830000018</v>
      </c>
    </row>
    <row r="7" spans="1:4" x14ac:dyDescent="0.25">
      <c r="A7" s="25" t="s">
        <v>21</v>
      </c>
      <c r="B7" s="30">
        <v>48504</v>
      </c>
      <c r="C7" s="30">
        <v>14153.316000000001</v>
      </c>
      <c r="D7" s="30">
        <v>212473.55095</v>
      </c>
    </row>
    <row r="8" spans="1:4" x14ac:dyDescent="0.25">
      <c r="A8" s="25" t="s">
        <v>12</v>
      </c>
      <c r="B8" s="30">
        <v>24252</v>
      </c>
      <c r="C8" s="30">
        <v>7320.67</v>
      </c>
      <c r="D8" s="30">
        <v>99093.296800000011</v>
      </c>
    </row>
    <row r="9" spans="1:4" x14ac:dyDescent="0.25">
      <c r="A9" s="25" t="s">
        <v>27</v>
      </c>
      <c r="B9" s="30">
        <v>40420</v>
      </c>
      <c r="C9" s="30">
        <v>15534.81</v>
      </c>
      <c r="D9" s="30">
        <v>208554.95680000001</v>
      </c>
    </row>
    <row r="10" spans="1:4" x14ac:dyDescent="0.25">
      <c r="A10" s="25" t="s">
        <v>29</v>
      </c>
      <c r="B10" s="30">
        <v>6063</v>
      </c>
      <c r="C10" s="30">
        <v>2771.34</v>
      </c>
      <c r="D10" s="30">
        <v>0</v>
      </c>
    </row>
    <row r="11" spans="1:4" x14ac:dyDescent="0.25">
      <c r="A11" s="25" t="s">
        <v>25</v>
      </c>
      <c r="B11" s="30">
        <v>6063</v>
      </c>
      <c r="C11" s="30">
        <v>2252.36</v>
      </c>
      <c r="D11" s="30">
        <v>0</v>
      </c>
    </row>
    <row r="12" spans="1:4" x14ac:dyDescent="0.25">
      <c r="A12" s="25" t="s">
        <v>28</v>
      </c>
      <c r="B12" s="30">
        <v>10105</v>
      </c>
      <c r="C12" s="30">
        <v>4401.01</v>
      </c>
      <c r="D12" s="30">
        <v>0</v>
      </c>
    </row>
    <row r="13" spans="1:4" x14ac:dyDescent="0.25">
      <c r="A13" s="24" t="s">
        <v>19</v>
      </c>
      <c r="B13" s="30">
        <v>200079</v>
      </c>
      <c r="C13" s="30">
        <v>86420.25</v>
      </c>
      <c r="D13" s="30">
        <v>563172.82517499989</v>
      </c>
    </row>
    <row r="14" spans="1:4" x14ac:dyDescent="0.25">
      <c r="A14" s="25" t="s">
        <v>23</v>
      </c>
      <c r="B14" s="30">
        <v>103071</v>
      </c>
      <c r="C14" s="30">
        <v>44668.880000000005</v>
      </c>
      <c r="D14" s="30">
        <v>289524.33149999991</v>
      </c>
    </row>
    <row r="15" spans="1:4" x14ac:dyDescent="0.25">
      <c r="A15" s="25" t="s">
        <v>21</v>
      </c>
      <c r="B15" s="30">
        <v>56588</v>
      </c>
      <c r="C15" s="30">
        <v>25009.499999999996</v>
      </c>
      <c r="D15" s="30">
        <v>181099.95747500003</v>
      </c>
    </row>
    <row r="16" spans="1:4" x14ac:dyDescent="0.25">
      <c r="A16" s="25" t="s">
        <v>24</v>
      </c>
      <c r="B16" s="30">
        <v>40420</v>
      </c>
      <c r="C16" s="30">
        <v>16741.87</v>
      </c>
      <c r="D16" s="30">
        <v>92548.536200000002</v>
      </c>
    </row>
    <row r="17" spans="1:4" x14ac:dyDescent="0.25">
      <c r="A17" s="24" t="s">
        <v>18</v>
      </c>
      <c r="B17" s="30">
        <v>16168</v>
      </c>
      <c r="C17" s="30">
        <v>7606.2300000000005</v>
      </c>
      <c r="D17" s="30">
        <v>39547.130399999995</v>
      </c>
    </row>
    <row r="18" spans="1:4" x14ac:dyDescent="0.25">
      <c r="A18" s="25" t="s">
        <v>12</v>
      </c>
      <c r="B18" s="30">
        <v>6063</v>
      </c>
      <c r="C18" s="30">
        <v>3294.09</v>
      </c>
      <c r="D18" s="30">
        <v>16994.638199999998</v>
      </c>
    </row>
    <row r="19" spans="1:4" x14ac:dyDescent="0.25">
      <c r="A19" s="25" t="s">
        <v>22</v>
      </c>
      <c r="B19" s="30">
        <v>10105</v>
      </c>
      <c r="C19" s="30">
        <v>4312.1400000000003</v>
      </c>
      <c r="D19" s="30">
        <v>22552.492200000001</v>
      </c>
    </row>
    <row r="20" spans="1:4" x14ac:dyDescent="0.25">
      <c r="A20" s="24" t="s">
        <v>35</v>
      </c>
      <c r="B20" s="30">
        <v>442599</v>
      </c>
      <c r="C20" s="30">
        <v>172620.24599999998</v>
      </c>
      <c r="D20" s="30">
        <v>1514654.418425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A87E9-8E29-4825-91B5-8813CCCAA747}">
  <sheetPr codeName="Sheet3"/>
  <dimension ref="B2:N443"/>
  <sheetViews>
    <sheetView workbookViewId="0">
      <selection activeCell="N2" sqref="N2"/>
    </sheetView>
  </sheetViews>
  <sheetFormatPr defaultRowHeight="15" x14ac:dyDescent="0.25"/>
  <cols>
    <col min="2" max="2" width="15.7109375" style="5" customWidth="1"/>
    <col min="3" max="6" width="15.7109375" customWidth="1"/>
    <col min="7" max="7" width="15.7109375" style="6" customWidth="1"/>
    <col min="8" max="10" width="15.7109375" customWidth="1"/>
    <col min="11" max="11" width="15.7109375" style="17" customWidth="1"/>
    <col min="12" max="14" width="15.7109375" customWidth="1"/>
  </cols>
  <sheetData>
    <row r="2" spans="2:14" ht="15.75" x14ac:dyDescent="0.25">
      <c r="B2" s="21" t="s">
        <v>0</v>
      </c>
      <c r="C2" s="18" t="s">
        <v>3</v>
      </c>
      <c r="D2" s="18" t="s">
        <v>2</v>
      </c>
      <c r="E2" s="18" t="s">
        <v>1</v>
      </c>
      <c r="F2" s="19" t="s">
        <v>4</v>
      </c>
      <c r="G2" s="19" t="s">
        <v>5</v>
      </c>
      <c r="H2" s="18" t="s">
        <v>6</v>
      </c>
      <c r="I2" s="18" t="s">
        <v>7</v>
      </c>
      <c r="J2" s="18" t="s">
        <v>8</v>
      </c>
      <c r="K2" s="20" t="s">
        <v>9</v>
      </c>
      <c r="L2" s="18" t="s">
        <v>11</v>
      </c>
      <c r="M2" s="18" t="s">
        <v>10</v>
      </c>
      <c r="N2" s="26" t="s">
        <v>31</v>
      </c>
    </row>
    <row r="3" spans="2:14" x14ac:dyDescent="0.25">
      <c r="B3" s="5">
        <v>45306</v>
      </c>
      <c r="C3" t="s">
        <v>21</v>
      </c>
      <c r="D3" t="s">
        <v>13</v>
      </c>
      <c r="E3" t="s">
        <v>14</v>
      </c>
      <c r="F3">
        <v>888</v>
      </c>
      <c r="G3">
        <v>888</v>
      </c>
      <c r="H3">
        <v>57.5</v>
      </c>
      <c r="I3">
        <v>12.5</v>
      </c>
      <c r="J3" t="s">
        <v>16</v>
      </c>
      <c r="K3" s="17">
        <v>8.8800000000000008</v>
      </c>
      <c r="L3" t="s">
        <v>15</v>
      </c>
      <c r="M3">
        <v>2024</v>
      </c>
      <c r="N3">
        <v>7885.4400000000005</v>
      </c>
    </row>
    <row r="4" spans="2:14" x14ac:dyDescent="0.25">
      <c r="B4" s="5">
        <v>45672</v>
      </c>
      <c r="C4" t="s">
        <v>21</v>
      </c>
      <c r="D4" t="s">
        <v>13</v>
      </c>
      <c r="E4" t="s">
        <v>14</v>
      </c>
      <c r="F4">
        <v>988</v>
      </c>
      <c r="G4">
        <v>988</v>
      </c>
      <c r="H4">
        <v>61</v>
      </c>
      <c r="I4">
        <v>14.5</v>
      </c>
      <c r="J4" t="s">
        <v>16</v>
      </c>
      <c r="K4" s="17">
        <v>5.68</v>
      </c>
      <c r="L4" t="s">
        <v>18</v>
      </c>
      <c r="M4">
        <v>2024</v>
      </c>
      <c r="N4">
        <v>5611.84</v>
      </c>
    </row>
    <row r="5" spans="2:14" x14ac:dyDescent="0.25">
      <c r="B5" s="5">
        <v>45685</v>
      </c>
      <c r="C5" t="s">
        <v>23</v>
      </c>
      <c r="D5" t="s">
        <v>13</v>
      </c>
      <c r="E5" t="s">
        <v>14</v>
      </c>
      <c r="F5">
        <v>995</v>
      </c>
      <c r="G5">
        <v>995</v>
      </c>
      <c r="H5">
        <v>63</v>
      </c>
      <c r="I5">
        <v>14</v>
      </c>
      <c r="J5" t="s">
        <v>16</v>
      </c>
      <c r="K5" s="17">
        <v>5.85</v>
      </c>
      <c r="L5" t="s">
        <v>19</v>
      </c>
      <c r="M5">
        <v>2024</v>
      </c>
      <c r="N5">
        <v>5820.75</v>
      </c>
    </row>
    <row r="6" spans="2:14" x14ac:dyDescent="0.25">
      <c r="B6" s="5">
        <v>45687</v>
      </c>
      <c r="C6" t="s">
        <v>23</v>
      </c>
      <c r="D6" t="s">
        <v>13</v>
      </c>
      <c r="E6" t="s">
        <v>14</v>
      </c>
      <c r="F6">
        <v>999</v>
      </c>
      <c r="G6">
        <v>999</v>
      </c>
      <c r="H6">
        <v>62</v>
      </c>
      <c r="I6">
        <v>14</v>
      </c>
      <c r="J6" t="s">
        <v>16</v>
      </c>
      <c r="K6" s="17">
        <v>5.55</v>
      </c>
      <c r="L6" t="s">
        <v>19</v>
      </c>
      <c r="M6">
        <v>2024</v>
      </c>
      <c r="N6">
        <v>5544.45</v>
      </c>
    </row>
    <row r="7" spans="2:14" x14ac:dyDescent="0.25">
      <c r="B7" s="5">
        <v>45688</v>
      </c>
      <c r="C7" t="s">
        <v>23</v>
      </c>
      <c r="D7" t="s">
        <v>13</v>
      </c>
      <c r="E7" t="s">
        <v>14</v>
      </c>
      <c r="F7">
        <v>1006</v>
      </c>
      <c r="G7">
        <v>1006</v>
      </c>
      <c r="H7">
        <v>62</v>
      </c>
      <c r="I7">
        <v>14</v>
      </c>
      <c r="J7" t="s">
        <v>16</v>
      </c>
      <c r="K7" s="17">
        <v>5.61</v>
      </c>
      <c r="L7" t="s">
        <v>19</v>
      </c>
      <c r="M7">
        <v>2024</v>
      </c>
      <c r="N7">
        <v>5643.6600000000008</v>
      </c>
    </row>
    <row r="8" spans="2:14" x14ac:dyDescent="0.25">
      <c r="B8" s="5">
        <v>45692</v>
      </c>
      <c r="C8" t="s">
        <v>26</v>
      </c>
      <c r="D8" t="s">
        <v>13</v>
      </c>
      <c r="E8" t="s">
        <v>14</v>
      </c>
      <c r="F8">
        <v>1015</v>
      </c>
      <c r="G8">
        <v>1015</v>
      </c>
      <c r="H8">
        <v>60</v>
      </c>
      <c r="I8">
        <v>13</v>
      </c>
      <c r="J8" t="s">
        <v>16</v>
      </c>
      <c r="K8" s="17">
        <v>11.32</v>
      </c>
      <c r="L8" t="s">
        <v>15</v>
      </c>
      <c r="M8">
        <v>2024</v>
      </c>
      <c r="N8">
        <v>11489.800000000001</v>
      </c>
    </row>
    <row r="9" spans="2:14" x14ac:dyDescent="0.25">
      <c r="B9" s="5">
        <v>45693</v>
      </c>
      <c r="C9" t="s">
        <v>26</v>
      </c>
      <c r="D9" t="s">
        <v>13</v>
      </c>
      <c r="E9" t="s">
        <v>14</v>
      </c>
      <c r="F9">
        <v>1000</v>
      </c>
      <c r="G9">
        <v>1000</v>
      </c>
      <c r="H9">
        <v>59</v>
      </c>
      <c r="I9">
        <v>13</v>
      </c>
      <c r="J9" t="s">
        <v>16</v>
      </c>
      <c r="K9" s="17">
        <v>11.62</v>
      </c>
      <c r="L9" t="s">
        <v>15</v>
      </c>
      <c r="M9">
        <v>2024</v>
      </c>
      <c r="N9">
        <v>11620</v>
      </c>
    </row>
    <row r="10" spans="2:14" x14ac:dyDescent="0.25">
      <c r="B10" s="5">
        <v>43378</v>
      </c>
      <c r="C10" t="s">
        <v>12</v>
      </c>
      <c r="D10" t="s">
        <v>38</v>
      </c>
      <c r="E10" t="s">
        <v>14</v>
      </c>
      <c r="F10">
        <v>776</v>
      </c>
      <c r="G10">
        <v>776</v>
      </c>
      <c r="I10">
        <v>11.1</v>
      </c>
      <c r="L10" t="s">
        <v>15</v>
      </c>
      <c r="M10">
        <v>2018</v>
      </c>
      <c r="N10">
        <v>0</v>
      </c>
    </row>
    <row r="11" spans="2:14" x14ac:dyDescent="0.25">
      <c r="B11" s="5">
        <v>43379</v>
      </c>
      <c r="C11" t="s">
        <v>12</v>
      </c>
      <c r="D11" t="s">
        <v>38</v>
      </c>
      <c r="E11" t="s">
        <v>14</v>
      </c>
      <c r="F11">
        <v>746.67</v>
      </c>
      <c r="G11">
        <v>746.6</v>
      </c>
      <c r="I11">
        <v>10.8</v>
      </c>
      <c r="L11" t="s">
        <v>15</v>
      </c>
      <c r="M11">
        <v>2018</v>
      </c>
      <c r="N11">
        <v>0</v>
      </c>
    </row>
    <row r="12" spans="2:14" x14ac:dyDescent="0.25">
      <c r="B12" s="5">
        <v>43379</v>
      </c>
      <c r="C12" t="s">
        <v>12</v>
      </c>
      <c r="D12" t="s">
        <v>38</v>
      </c>
      <c r="E12" t="s">
        <v>14</v>
      </c>
      <c r="F12">
        <v>798</v>
      </c>
      <c r="G12">
        <v>798</v>
      </c>
      <c r="I12">
        <v>10.7</v>
      </c>
      <c r="L12" t="s">
        <v>15</v>
      </c>
      <c r="M12">
        <v>2018</v>
      </c>
      <c r="N12">
        <v>0</v>
      </c>
    </row>
    <row r="13" spans="2:14" x14ac:dyDescent="0.25">
      <c r="B13" s="5">
        <v>43347</v>
      </c>
      <c r="C13" t="s">
        <v>24</v>
      </c>
      <c r="D13" t="s">
        <v>39</v>
      </c>
      <c r="E13" t="s">
        <v>14</v>
      </c>
      <c r="F13">
        <v>824.33299999999997</v>
      </c>
      <c r="G13">
        <v>807.846</v>
      </c>
      <c r="I13">
        <v>13.2</v>
      </c>
      <c r="L13" t="s">
        <v>18</v>
      </c>
      <c r="M13">
        <v>2018</v>
      </c>
      <c r="N13">
        <v>0</v>
      </c>
    </row>
    <row r="14" spans="2:14" x14ac:dyDescent="0.25">
      <c r="B14" s="5">
        <v>43347</v>
      </c>
      <c r="C14" t="s">
        <v>24</v>
      </c>
      <c r="D14" t="s">
        <v>39</v>
      </c>
      <c r="E14" t="s">
        <v>14</v>
      </c>
      <c r="F14">
        <v>757.33299999999997</v>
      </c>
      <c r="G14" s="6">
        <v>757.33299999999997</v>
      </c>
      <c r="I14">
        <v>12.1</v>
      </c>
      <c r="L14" t="s">
        <v>18</v>
      </c>
      <c r="M14">
        <v>2018</v>
      </c>
      <c r="N14">
        <v>0</v>
      </c>
    </row>
    <row r="15" spans="2:14" x14ac:dyDescent="0.25">
      <c r="B15" s="5">
        <v>43348</v>
      </c>
      <c r="C15" t="s">
        <v>24</v>
      </c>
      <c r="D15" t="s">
        <v>39</v>
      </c>
      <c r="E15" t="s">
        <v>14</v>
      </c>
      <c r="F15">
        <v>797.33299999999997</v>
      </c>
      <c r="G15" s="6">
        <v>761.45299999999997</v>
      </c>
      <c r="I15">
        <v>14.4</v>
      </c>
      <c r="L15" t="s">
        <v>18</v>
      </c>
      <c r="M15">
        <v>2018</v>
      </c>
      <c r="N15">
        <v>0</v>
      </c>
    </row>
    <row r="16" spans="2:14" x14ac:dyDescent="0.25">
      <c r="B16" s="5">
        <v>43348</v>
      </c>
      <c r="C16" t="s">
        <v>24</v>
      </c>
      <c r="D16" t="s">
        <v>39</v>
      </c>
      <c r="E16" t="s">
        <v>14</v>
      </c>
      <c r="F16">
        <v>788.66700000000003</v>
      </c>
      <c r="G16" s="6">
        <v>682.197</v>
      </c>
      <c r="I16">
        <v>17.399999999999999</v>
      </c>
      <c r="L16" t="s">
        <v>18</v>
      </c>
      <c r="M16">
        <v>2018</v>
      </c>
      <c r="N16">
        <v>0</v>
      </c>
    </row>
    <row r="17" spans="2:14" x14ac:dyDescent="0.25">
      <c r="B17" s="5">
        <v>43391</v>
      </c>
      <c r="C17" t="s">
        <v>21</v>
      </c>
      <c r="D17" t="s">
        <v>40</v>
      </c>
      <c r="E17" t="s">
        <v>14</v>
      </c>
      <c r="F17">
        <v>868</v>
      </c>
      <c r="G17" s="6">
        <v>868</v>
      </c>
      <c r="I17">
        <v>14.9</v>
      </c>
      <c r="L17" t="s">
        <v>15</v>
      </c>
      <c r="M17">
        <v>2018</v>
      </c>
      <c r="N17">
        <v>0</v>
      </c>
    </row>
    <row r="18" spans="2:14" x14ac:dyDescent="0.25">
      <c r="B18" s="5">
        <v>43392</v>
      </c>
      <c r="C18" t="s">
        <v>21</v>
      </c>
      <c r="D18" t="s">
        <v>40</v>
      </c>
      <c r="E18" t="s">
        <v>14</v>
      </c>
      <c r="F18">
        <v>886.67</v>
      </c>
      <c r="G18" s="6">
        <v>886.67</v>
      </c>
      <c r="I18">
        <v>14.9</v>
      </c>
      <c r="L18" t="s">
        <v>15</v>
      </c>
      <c r="M18">
        <v>2018</v>
      </c>
      <c r="N18">
        <v>0</v>
      </c>
    </row>
    <row r="19" spans="2:14" x14ac:dyDescent="0.25">
      <c r="B19" s="5">
        <v>43396</v>
      </c>
      <c r="C19" t="s">
        <v>21</v>
      </c>
      <c r="D19" t="s">
        <v>40</v>
      </c>
      <c r="E19" t="s">
        <v>14</v>
      </c>
      <c r="F19">
        <v>868</v>
      </c>
      <c r="G19" s="6">
        <v>868</v>
      </c>
      <c r="I19">
        <v>12.7</v>
      </c>
      <c r="L19" t="s">
        <v>15</v>
      </c>
      <c r="M19">
        <v>2018</v>
      </c>
      <c r="N19">
        <v>0</v>
      </c>
    </row>
    <row r="20" spans="2:14" x14ac:dyDescent="0.25">
      <c r="B20" s="5">
        <v>43397</v>
      </c>
      <c r="C20" t="s">
        <v>21</v>
      </c>
      <c r="D20" t="s">
        <v>40</v>
      </c>
      <c r="E20" t="s">
        <v>14</v>
      </c>
      <c r="F20">
        <v>821.33299999999997</v>
      </c>
      <c r="G20" s="6">
        <v>821.33299999999997</v>
      </c>
      <c r="I20">
        <v>12.54</v>
      </c>
      <c r="L20" t="s">
        <v>15</v>
      </c>
      <c r="M20">
        <v>2018</v>
      </c>
      <c r="N20">
        <v>0</v>
      </c>
    </row>
    <row r="21" spans="2:14" x14ac:dyDescent="0.25">
      <c r="B21" s="5">
        <v>43399</v>
      </c>
      <c r="C21" t="s">
        <v>21</v>
      </c>
      <c r="D21" t="s">
        <v>40</v>
      </c>
      <c r="E21" t="s">
        <v>14</v>
      </c>
      <c r="F21">
        <v>563</v>
      </c>
      <c r="G21" s="6">
        <v>563</v>
      </c>
      <c r="I21">
        <v>12.5</v>
      </c>
      <c r="L21" t="s">
        <v>15</v>
      </c>
      <c r="M21">
        <v>2018</v>
      </c>
      <c r="N21">
        <v>0</v>
      </c>
    </row>
    <row r="22" spans="2:14" x14ac:dyDescent="0.25">
      <c r="B22" s="5">
        <v>43385</v>
      </c>
      <c r="C22" t="s">
        <v>27</v>
      </c>
      <c r="D22" t="s">
        <v>40</v>
      </c>
      <c r="E22" t="s">
        <v>14</v>
      </c>
      <c r="F22">
        <v>876</v>
      </c>
      <c r="G22" s="6">
        <v>876</v>
      </c>
      <c r="I22">
        <v>15.2</v>
      </c>
      <c r="L22" t="s">
        <v>18</v>
      </c>
      <c r="M22">
        <v>2018</v>
      </c>
      <c r="N22">
        <v>0</v>
      </c>
    </row>
    <row r="23" spans="2:14" x14ac:dyDescent="0.25">
      <c r="B23" s="5">
        <v>43349</v>
      </c>
      <c r="C23" t="s">
        <v>23</v>
      </c>
      <c r="D23" t="s">
        <v>39</v>
      </c>
      <c r="E23" t="s">
        <v>14</v>
      </c>
      <c r="F23">
        <v>836</v>
      </c>
      <c r="G23" s="6">
        <v>836</v>
      </c>
      <c r="I23">
        <v>11.4</v>
      </c>
      <c r="L23" t="s">
        <v>15</v>
      </c>
      <c r="M23">
        <v>2018</v>
      </c>
      <c r="N23">
        <v>0</v>
      </c>
    </row>
    <row r="24" spans="2:14" x14ac:dyDescent="0.25">
      <c r="B24" s="5">
        <v>43349</v>
      </c>
      <c r="C24" t="s">
        <v>23</v>
      </c>
      <c r="D24" t="s">
        <v>39</v>
      </c>
      <c r="E24" t="s">
        <v>14</v>
      </c>
      <c r="F24">
        <v>449.66699999999997</v>
      </c>
      <c r="G24" s="6">
        <v>449.66699999999997</v>
      </c>
      <c r="I24">
        <v>11.5</v>
      </c>
      <c r="L24" t="s">
        <v>15</v>
      </c>
      <c r="M24">
        <v>2018</v>
      </c>
      <c r="N24">
        <v>0</v>
      </c>
    </row>
    <row r="25" spans="2:14" x14ac:dyDescent="0.25">
      <c r="B25" s="5">
        <v>43764</v>
      </c>
      <c r="C25" t="s">
        <v>26</v>
      </c>
      <c r="D25" t="s">
        <v>41</v>
      </c>
      <c r="E25" t="s">
        <v>42</v>
      </c>
      <c r="F25">
        <v>1051.43</v>
      </c>
      <c r="G25" s="6">
        <v>980.46</v>
      </c>
      <c r="H25">
        <v>55.2</v>
      </c>
      <c r="I25">
        <v>19.2</v>
      </c>
      <c r="J25" t="s">
        <v>43</v>
      </c>
      <c r="K25" s="17">
        <v>4.91</v>
      </c>
      <c r="L25" t="s">
        <v>18</v>
      </c>
      <c r="M25">
        <v>2019</v>
      </c>
      <c r="N25">
        <v>4814.0586000000003</v>
      </c>
    </row>
    <row r="26" spans="2:14" x14ac:dyDescent="0.25">
      <c r="B26" s="5">
        <v>43764</v>
      </c>
      <c r="C26" t="s">
        <v>26</v>
      </c>
      <c r="D26" t="s">
        <v>41</v>
      </c>
      <c r="E26" t="s">
        <v>42</v>
      </c>
      <c r="F26">
        <v>1054.6400000000001</v>
      </c>
      <c r="G26" s="6">
        <v>999.27</v>
      </c>
      <c r="H26">
        <v>56.4</v>
      </c>
      <c r="I26">
        <v>18.100000000000001</v>
      </c>
      <c r="J26" t="s">
        <v>43</v>
      </c>
      <c r="K26" s="17">
        <v>4.91</v>
      </c>
      <c r="L26" t="s">
        <v>18</v>
      </c>
      <c r="M26">
        <v>2019</v>
      </c>
      <c r="N26">
        <v>4906.4157000000005</v>
      </c>
    </row>
    <row r="27" spans="2:14" x14ac:dyDescent="0.25">
      <c r="B27" s="5">
        <v>43764</v>
      </c>
      <c r="C27" t="s">
        <v>26</v>
      </c>
      <c r="D27" t="s">
        <v>41</v>
      </c>
      <c r="E27" t="s">
        <v>42</v>
      </c>
      <c r="F27">
        <v>1043.57</v>
      </c>
      <c r="G27" s="6">
        <v>980.96</v>
      </c>
      <c r="H27">
        <v>56</v>
      </c>
      <c r="I27">
        <v>18.899999999999999</v>
      </c>
      <c r="J27" t="s">
        <v>43</v>
      </c>
      <c r="K27" s="17">
        <v>4.91</v>
      </c>
      <c r="L27" t="s">
        <v>18</v>
      </c>
      <c r="M27">
        <v>2019</v>
      </c>
      <c r="N27">
        <v>4816.5136000000002</v>
      </c>
    </row>
    <row r="28" spans="2:14" x14ac:dyDescent="0.25">
      <c r="B28" s="5">
        <v>43764</v>
      </c>
      <c r="C28" t="s">
        <v>26</v>
      </c>
      <c r="D28" t="s">
        <v>41</v>
      </c>
      <c r="E28" t="s">
        <v>42</v>
      </c>
      <c r="F28">
        <v>41.82</v>
      </c>
      <c r="G28" s="6">
        <v>39.31</v>
      </c>
      <c r="H28">
        <v>56.2</v>
      </c>
      <c r="I28">
        <v>18.8</v>
      </c>
      <c r="J28" t="s">
        <v>43</v>
      </c>
      <c r="K28" s="17">
        <v>4.91</v>
      </c>
      <c r="L28" t="s">
        <v>18</v>
      </c>
      <c r="M28">
        <v>2019</v>
      </c>
      <c r="N28">
        <v>193.0121</v>
      </c>
    </row>
    <row r="29" spans="2:14" x14ac:dyDescent="0.25">
      <c r="B29" s="5">
        <v>43764</v>
      </c>
      <c r="C29" t="s">
        <v>26</v>
      </c>
      <c r="F29">
        <v>1025.68</v>
      </c>
      <c r="G29" s="6">
        <v>964.14</v>
      </c>
      <c r="H29">
        <v>56.2</v>
      </c>
      <c r="I29">
        <v>18.8</v>
      </c>
      <c r="J29" t="s">
        <v>43</v>
      </c>
      <c r="K29" s="17">
        <v>4.5175000000000001</v>
      </c>
      <c r="L29" t="s">
        <v>18</v>
      </c>
      <c r="M29">
        <v>2019</v>
      </c>
      <c r="N29">
        <v>4355.50245</v>
      </c>
    </row>
    <row r="30" spans="2:14" x14ac:dyDescent="0.25">
      <c r="B30" s="5">
        <v>43764</v>
      </c>
      <c r="C30" t="s">
        <v>26</v>
      </c>
      <c r="D30" t="s">
        <v>41</v>
      </c>
      <c r="E30" t="s">
        <v>42</v>
      </c>
      <c r="F30">
        <v>984.64</v>
      </c>
      <c r="G30" s="6">
        <v>925.56</v>
      </c>
      <c r="H30">
        <v>55.1</v>
      </c>
      <c r="I30">
        <v>18.8</v>
      </c>
      <c r="J30" t="s">
        <v>43</v>
      </c>
      <c r="K30" s="17">
        <v>4.5175000000000001</v>
      </c>
      <c r="L30" t="s">
        <v>18</v>
      </c>
      <c r="M30">
        <v>2019</v>
      </c>
      <c r="N30">
        <v>4181.2173000000003</v>
      </c>
    </row>
    <row r="31" spans="2:14" x14ac:dyDescent="0.25">
      <c r="B31" s="5">
        <v>43764</v>
      </c>
      <c r="C31" t="s">
        <v>26</v>
      </c>
      <c r="D31" t="s">
        <v>41</v>
      </c>
      <c r="E31" t="s">
        <v>14</v>
      </c>
      <c r="F31">
        <v>940.71</v>
      </c>
      <c r="G31" s="6">
        <v>891.33</v>
      </c>
      <c r="H31">
        <v>54</v>
      </c>
      <c r="I31">
        <v>18.399999999999999</v>
      </c>
      <c r="J31" t="s">
        <v>43</v>
      </c>
      <c r="K31" s="17">
        <v>4.5175000000000001</v>
      </c>
      <c r="L31" t="s">
        <v>18</v>
      </c>
      <c r="M31">
        <v>2019</v>
      </c>
      <c r="N31">
        <v>4026.5832750000004</v>
      </c>
    </row>
    <row r="32" spans="2:14" x14ac:dyDescent="0.25">
      <c r="B32" s="5">
        <v>43764</v>
      </c>
      <c r="C32" t="s">
        <v>26</v>
      </c>
      <c r="D32" t="s">
        <v>41</v>
      </c>
      <c r="E32" t="s">
        <v>14</v>
      </c>
      <c r="F32">
        <v>956.07</v>
      </c>
      <c r="G32" s="6">
        <v>898.71</v>
      </c>
      <c r="H32">
        <v>52.9</v>
      </c>
      <c r="I32">
        <v>18.600000000000001</v>
      </c>
      <c r="J32" t="s">
        <v>43</v>
      </c>
      <c r="K32" s="17">
        <v>4.5175000000000001</v>
      </c>
      <c r="L32" t="s">
        <v>18</v>
      </c>
      <c r="M32">
        <v>2019</v>
      </c>
      <c r="N32">
        <v>4059.9224250000002</v>
      </c>
    </row>
    <row r="33" spans="2:14" x14ac:dyDescent="0.25">
      <c r="B33" s="5">
        <v>43764</v>
      </c>
      <c r="C33" t="s">
        <v>26</v>
      </c>
      <c r="D33" t="s">
        <v>41</v>
      </c>
      <c r="E33" t="s">
        <v>14</v>
      </c>
      <c r="F33">
        <v>862.86</v>
      </c>
      <c r="G33" s="6">
        <v>824.03</v>
      </c>
      <c r="H33">
        <v>54.9</v>
      </c>
      <c r="I33">
        <v>18</v>
      </c>
      <c r="J33" t="s">
        <v>43</v>
      </c>
      <c r="K33" s="17">
        <v>4.5175000000000001</v>
      </c>
      <c r="L33" t="s">
        <v>18</v>
      </c>
      <c r="M33">
        <v>2019</v>
      </c>
      <c r="N33">
        <v>3722.5555249999998</v>
      </c>
    </row>
    <row r="34" spans="2:14" x14ac:dyDescent="0.25">
      <c r="B34" s="5">
        <v>43770</v>
      </c>
      <c r="C34" t="s">
        <v>26</v>
      </c>
      <c r="D34" t="s">
        <v>41</v>
      </c>
      <c r="E34" t="s">
        <v>14</v>
      </c>
      <c r="F34">
        <v>919.64</v>
      </c>
      <c r="G34" s="6">
        <v>864.46</v>
      </c>
      <c r="H34">
        <v>58.2</v>
      </c>
      <c r="I34">
        <v>18.8</v>
      </c>
      <c r="J34" t="s">
        <v>43</v>
      </c>
      <c r="K34" s="17">
        <v>4.4524999999999997</v>
      </c>
      <c r="L34" t="s">
        <v>18</v>
      </c>
      <c r="M34">
        <v>2019</v>
      </c>
      <c r="N34">
        <v>3849.0081499999997</v>
      </c>
    </row>
    <row r="35" spans="2:14" x14ac:dyDescent="0.25">
      <c r="B35" s="5">
        <v>43770</v>
      </c>
      <c r="C35" t="s">
        <v>26</v>
      </c>
      <c r="D35" t="s">
        <v>41</v>
      </c>
      <c r="E35" t="s">
        <v>14</v>
      </c>
      <c r="F35">
        <v>877.14</v>
      </c>
      <c r="G35" s="6">
        <v>824.51</v>
      </c>
      <c r="H35">
        <v>57.8</v>
      </c>
      <c r="I35">
        <v>18.8</v>
      </c>
      <c r="J35" t="s">
        <v>43</v>
      </c>
      <c r="K35" s="17">
        <v>4.4524999999999997</v>
      </c>
      <c r="L35" t="s">
        <v>18</v>
      </c>
      <c r="M35">
        <v>2019</v>
      </c>
      <c r="N35">
        <v>3671.1307749999996</v>
      </c>
    </row>
    <row r="36" spans="2:14" x14ac:dyDescent="0.25">
      <c r="B36" s="5">
        <v>43770</v>
      </c>
      <c r="C36" t="s">
        <v>26</v>
      </c>
      <c r="D36" t="s">
        <v>41</v>
      </c>
      <c r="E36" t="s">
        <v>14</v>
      </c>
      <c r="F36">
        <v>898.93</v>
      </c>
      <c r="G36" s="6">
        <v>851.73</v>
      </c>
      <c r="H36">
        <v>57.6</v>
      </c>
      <c r="I36">
        <v>18.100000000000001</v>
      </c>
      <c r="J36" t="s">
        <v>43</v>
      </c>
      <c r="K36" s="17">
        <v>4.4524999999999997</v>
      </c>
      <c r="L36" t="s">
        <v>18</v>
      </c>
      <c r="M36">
        <v>2019</v>
      </c>
      <c r="N36">
        <v>3792.3278249999998</v>
      </c>
    </row>
    <row r="37" spans="2:14" x14ac:dyDescent="0.25">
      <c r="B37" s="5">
        <v>43776</v>
      </c>
      <c r="C37" t="s">
        <v>26</v>
      </c>
      <c r="D37" t="s">
        <v>41</v>
      </c>
      <c r="E37" t="s">
        <v>14</v>
      </c>
      <c r="F37">
        <v>935.36</v>
      </c>
      <c r="G37" s="6">
        <v>893.27</v>
      </c>
      <c r="H37">
        <v>57.9</v>
      </c>
      <c r="I37">
        <v>18</v>
      </c>
      <c r="J37" t="s">
        <v>43</v>
      </c>
      <c r="K37" s="17">
        <v>4.45</v>
      </c>
      <c r="L37" t="s">
        <v>18</v>
      </c>
      <c r="M37">
        <v>2019</v>
      </c>
      <c r="N37">
        <v>3975.0515</v>
      </c>
    </row>
    <row r="38" spans="2:14" x14ac:dyDescent="0.25">
      <c r="B38" s="5">
        <v>43776</v>
      </c>
      <c r="C38" t="s">
        <v>26</v>
      </c>
      <c r="D38" t="s">
        <v>41</v>
      </c>
      <c r="E38" t="s">
        <v>14</v>
      </c>
      <c r="F38">
        <v>926.43</v>
      </c>
      <c r="G38" s="6">
        <v>884.74</v>
      </c>
      <c r="H38">
        <v>57.7</v>
      </c>
      <c r="I38">
        <v>17.8</v>
      </c>
      <c r="J38" t="s">
        <v>43</v>
      </c>
      <c r="K38" s="17">
        <v>4.45</v>
      </c>
      <c r="L38" t="s">
        <v>18</v>
      </c>
      <c r="M38">
        <v>2019</v>
      </c>
      <c r="N38">
        <v>3937.0930000000003</v>
      </c>
    </row>
    <row r="39" spans="2:14" x14ac:dyDescent="0.25">
      <c r="B39" s="5">
        <v>43776</v>
      </c>
      <c r="C39" t="s">
        <v>26</v>
      </c>
      <c r="D39" t="s">
        <v>41</v>
      </c>
      <c r="E39" t="s">
        <v>14</v>
      </c>
      <c r="F39">
        <v>942.5</v>
      </c>
      <c r="G39" s="6">
        <v>900.09</v>
      </c>
      <c r="H39">
        <v>57.8</v>
      </c>
      <c r="I39">
        <v>17.600000000000001</v>
      </c>
      <c r="J39" t="s">
        <v>43</v>
      </c>
      <c r="K39" s="17">
        <v>4.45</v>
      </c>
      <c r="L39" t="s">
        <v>18</v>
      </c>
      <c r="M39">
        <v>2019</v>
      </c>
      <c r="N39">
        <v>4005.4005000000002</v>
      </c>
    </row>
    <row r="40" spans="2:14" x14ac:dyDescent="0.25">
      <c r="B40" s="5">
        <v>43790</v>
      </c>
      <c r="C40" t="s">
        <v>26</v>
      </c>
      <c r="D40" t="s">
        <v>41</v>
      </c>
      <c r="E40" t="s">
        <v>42</v>
      </c>
      <c r="F40">
        <v>935.71</v>
      </c>
      <c r="G40" s="6">
        <v>928.7</v>
      </c>
      <c r="H40">
        <v>57.9</v>
      </c>
      <c r="I40">
        <v>15.4</v>
      </c>
      <c r="J40" t="s">
        <v>43</v>
      </c>
      <c r="K40" s="17">
        <v>4.29</v>
      </c>
      <c r="L40" t="s">
        <v>18</v>
      </c>
      <c r="M40">
        <v>2019</v>
      </c>
      <c r="N40">
        <v>3984.123</v>
      </c>
    </row>
    <row r="41" spans="2:14" x14ac:dyDescent="0.25">
      <c r="B41" s="5">
        <v>43790</v>
      </c>
      <c r="C41" t="s">
        <v>26</v>
      </c>
      <c r="D41" t="s">
        <v>41</v>
      </c>
      <c r="E41" t="s">
        <v>42</v>
      </c>
      <c r="F41">
        <v>703.32</v>
      </c>
      <c r="G41" s="6">
        <v>692.66</v>
      </c>
      <c r="H41">
        <v>55.3</v>
      </c>
      <c r="I41">
        <v>15.8</v>
      </c>
      <c r="J41" t="s">
        <v>43</v>
      </c>
      <c r="K41" s="17">
        <v>4.29</v>
      </c>
      <c r="L41" t="s">
        <v>18</v>
      </c>
      <c r="M41">
        <v>2019</v>
      </c>
      <c r="N41">
        <v>2971.5113999999999</v>
      </c>
    </row>
    <row r="42" spans="2:14" x14ac:dyDescent="0.25">
      <c r="B42" s="5">
        <v>43790</v>
      </c>
      <c r="C42" t="s">
        <v>26</v>
      </c>
      <c r="D42" t="s">
        <v>41</v>
      </c>
      <c r="E42" t="s">
        <v>14</v>
      </c>
      <c r="F42">
        <v>956.07</v>
      </c>
      <c r="G42" s="6">
        <v>934.56</v>
      </c>
      <c r="H42">
        <v>58.6</v>
      </c>
      <c r="I42">
        <v>16.5</v>
      </c>
      <c r="J42" t="s">
        <v>43</v>
      </c>
      <c r="K42" s="17">
        <v>4.29</v>
      </c>
      <c r="L42" t="s">
        <v>18</v>
      </c>
      <c r="M42">
        <v>2019</v>
      </c>
      <c r="N42">
        <v>4009.2623999999996</v>
      </c>
    </row>
    <row r="43" spans="2:14" x14ac:dyDescent="0.25">
      <c r="B43" s="5">
        <v>43790</v>
      </c>
      <c r="C43" t="s">
        <v>26</v>
      </c>
      <c r="D43" t="s">
        <v>41</v>
      </c>
      <c r="E43" t="s">
        <v>14</v>
      </c>
      <c r="F43">
        <v>941.07</v>
      </c>
      <c r="G43" s="6">
        <v>926.96</v>
      </c>
      <c r="H43">
        <v>57.4</v>
      </c>
      <c r="I43">
        <v>15.9</v>
      </c>
      <c r="J43" t="s">
        <v>43</v>
      </c>
      <c r="K43" s="17">
        <v>4.29</v>
      </c>
      <c r="L43" t="s">
        <v>18</v>
      </c>
      <c r="M43">
        <v>2019</v>
      </c>
      <c r="N43">
        <v>3976.6584000000003</v>
      </c>
    </row>
    <row r="44" spans="2:14" x14ac:dyDescent="0.25">
      <c r="B44" s="5">
        <v>43790</v>
      </c>
      <c r="C44" t="s">
        <v>26</v>
      </c>
      <c r="D44" t="s">
        <v>41</v>
      </c>
      <c r="E44" t="s">
        <v>14</v>
      </c>
      <c r="F44">
        <v>895.36</v>
      </c>
      <c r="G44" s="6">
        <v>881.93</v>
      </c>
      <c r="H44">
        <v>57.5</v>
      </c>
      <c r="I44">
        <v>15.7</v>
      </c>
      <c r="J44" t="s">
        <v>43</v>
      </c>
      <c r="K44" s="17">
        <v>4.29</v>
      </c>
      <c r="L44" t="s">
        <v>18</v>
      </c>
      <c r="M44">
        <v>2019</v>
      </c>
      <c r="N44">
        <v>3783.4796999999999</v>
      </c>
    </row>
    <row r="45" spans="2:14" x14ac:dyDescent="0.25">
      <c r="B45" s="5">
        <v>43724</v>
      </c>
      <c r="C45" t="s">
        <v>29</v>
      </c>
      <c r="D45" t="s">
        <v>44</v>
      </c>
      <c r="E45" t="s">
        <v>14</v>
      </c>
      <c r="F45">
        <v>1063.5709999999999</v>
      </c>
      <c r="G45" s="6">
        <v>981.67600000000004</v>
      </c>
      <c r="I45">
        <v>20.5</v>
      </c>
      <c r="L45" t="s">
        <v>18</v>
      </c>
      <c r="M45">
        <v>2019</v>
      </c>
      <c r="N45">
        <v>0</v>
      </c>
    </row>
    <row r="46" spans="2:14" x14ac:dyDescent="0.25">
      <c r="B46" s="5">
        <v>43724</v>
      </c>
      <c r="C46" t="s">
        <v>29</v>
      </c>
      <c r="D46" t="s">
        <v>44</v>
      </c>
      <c r="E46" t="s">
        <v>14</v>
      </c>
      <c r="F46">
        <v>991.07100000000003</v>
      </c>
      <c r="G46" s="6">
        <v>935.57100000000003</v>
      </c>
      <c r="I46">
        <v>18.899999999999999</v>
      </c>
      <c r="L46" t="s">
        <v>18</v>
      </c>
      <c r="M46">
        <v>2019</v>
      </c>
      <c r="N46">
        <v>0</v>
      </c>
    </row>
    <row r="47" spans="2:14" x14ac:dyDescent="0.25">
      <c r="B47" s="5">
        <v>43725</v>
      </c>
      <c r="C47" t="s">
        <v>29</v>
      </c>
      <c r="D47" t="s">
        <v>44</v>
      </c>
      <c r="E47" t="s">
        <v>14</v>
      </c>
      <c r="F47">
        <v>950.35699999999997</v>
      </c>
      <c r="G47" s="6">
        <v>897.13699999999994</v>
      </c>
      <c r="I47">
        <v>18.7</v>
      </c>
      <c r="L47" t="s">
        <v>18</v>
      </c>
      <c r="M47">
        <v>2019</v>
      </c>
      <c r="N47">
        <v>0</v>
      </c>
    </row>
    <row r="48" spans="2:14" x14ac:dyDescent="0.25">
      <c r="B48" s="5">
        <v>43725</v>
      </c>
      <c r="C48" t="s">
        <v>29</v>
      </c>
      <c r="D48" t="s">
        <v>39</v>
      </c>
      <c r="E48" t="s">
        <v>14</v>
      </c>
      <c r="F48">
        <v>926.07100000000003</v>
      </c>
      <c r="G48" s="6">
        <v>874.21100000000001</v>
      </c>
      <c r="I48">
        <v>19</v>
      </c>
      <c r="L48" t="s">
        <v>18</v>
      </c>
      <c r="M48">
        <v>2019</v>
      </c>
      <c r="N48">
        <v>0</v>
      </c>
    </row>
    <row r="49" spans="2:14" x14ac:dyDescent="0.25">
      <c r="B49" s="5">
        <v>43725</v>
      </c>
      <c r="C49" t="s">
        <v>29</v>
      </c>
      <c r="D49" t="s">
        <v>39</v>
      </c>
      <c r="E49" t="s">
        <v>14</v>
      </c>
      <c r="F49">
        <v>1002.143</v>
      </c>
      <c r="G49" s="6">
        <v>931.99300000000005</v>
      </c>
      <c r="I49">
        <v>19.7</v>
      </c>
      <c r="L49" t="s">
        <v>18</v>
      </c>
      <c r="M49">
        <v>2019</v>
      </c>
      <c r="N49">
        <v>0</v>
      </c>
    </row>
    <row r="50" spans="2:14" x14ac:dyDescent="0.25">
      <c r="B50" s="5">
        <v>43725</v>
      </c>
      <c r="C50" t="s">
        <v>29</v>
      </c>
      <c r="D50" t="s">
        <v>39</v>
      </c>
      <c r="E50" t="s">
        <v>14</v>
      </c>
      <c r="F50">
        <v>1002.857</v>
      </c>
      <c r="G50" s="6">
        <v>939.67700000000002</v>
      </c>
      <c r="I50">
        <v>19.3</v>
      </c>
      <c r="L50" t="s">
        <v>18</v>
      </c>
      <c r="M50">
        <v>2019</v>
      </c>
      <c r="N50">
        <v>0</v>
      </c>
    </row>
    <row r="51" spans="2:14" x14ac:dyDescent="0.25">
      <c r="B51" s="5">
        <v>43725</v>
      </c>
      <c r="C51" t="s">
        <v>29</v>
      </c>
      <c r="D51" t="s">
        <v>39</v>
      </c>
      <c r="E51" t="s">
        <v>14</v>
      </c>
      <c r="F51">
        <v>983.57100000000003</v>
      </c>
      <c r="G51" s="6">
        <v>935.37599999999998</v>
      </c>
      <c r="I51">
        <v>18.3</v>
      </c>
      <c r="L51" t="s">
        <v>18</v>
      </c>
      <c r="M51">
        <v>2019</v>
      </c>
      <c r="N51">
        <v>0</v>
      </c>
    </row>
    <row r="52" spans="2:14" x14ac:dyDescent="0.25">
      <c r="B52" s="5">
        <v>43725</v>
      </c>
      <c r="C52" t="s">
        <v>29</v>
      </c>
      <c r="D52" t="s">
        <v>44</v>
      </c>
      <c r="E52" t="s">
        <v>14</v>
      </c>
      <c r="F52">
        <v>992.85699999999997</v>
      </c>
      <c r="G52" s="6">
        <v>944.20699999999999</v>
      </c>
      <c r="I52">
        <v>18.399999999999999</v>
      </c>
      <c r="L52" t="s">
        <v>18</v>
      </c>
      <c r="M52">
        <v>2019</v>
      </c>
      <c r="N52">
        <v>0</v>
      </c>
    </row>
    <row r="53" spans="2:14" x14ac:dyDescent="0.25">
      <c r="B53" s="5">
        <v>43726</v>
      </c>
      <c r="C53" t="s">
        <v>29</v>
      </c>
      <c r="D53" t="s">
        <v>39</v>
      </c>
      <c r="E53" t="s">
        <v>14</v>
      </c>
      <c r="F53">
        <v>864.64300000000003</v>
      </c>
      <c r="G53" s="6">
        <v>810.17</v>
      </c>
      <c r="I53">
        <v>19.5</v>
      </c>
      <c r="L53" t="s">
        <v>18</v>
      </c>
      <c r="M53">
        <v>2019</v>
      </c>
      <c r="N53">
        <v>0</v>
      </c>
    </row>
    <row r="54" spans="2:14" x14ac:dyDescent="0.25">
      <c r="B54" s="5">
        <v>43801</v>
      </c>
      <c r="C54" t="s">
        <v>22</v>
      </c>
      <c r="D54" t="s">
        <v>39</v>
      </c>
      <c r="E54" t="s">
        <v>14</v>
      </c>
      <c r="F54">
        <v>898</v>
      </c>
      <c r="G54" s="6">
        <v>898</v>
      </c>
      <c r="H54">
        <v>55.5</v>
      </c>
      <c r="I54">
        <v>9.5</v>
      </c>
      <c r="J54" t="s">
        <v>43</v>
      </c>
      <c r="K54" s="17">
        <v>9.02</v>
      </c>
      <c r="L54" t="s">
        <v>15</v>
      </c>
      <c r="M54">
        <v>2019</v>
      </c>
      <c r="N54">
        <v>8099.96</v>
      </c>
    </row>
    <row r="55" spans="2:14" x14ac:dyDescent="0.25">
      <c r="B55" s="5">
        <v>43818</v>
      </c>
      <c r="C55" t="s">
        <v>22</v>
      </c>
      <c r="D55" t="s">
        <v>39</v>
      </c>
      <c r="E55" t="s">
        <v>14</v>
      </c>
      <c r="F55">
        <v>905.33299999999997</v>
      </c>
      <c r="G55" s="6">
        <v>905.33299999999997</v>
      </c>
      <c r="H55">
        <v>55.5</v>
      </c>
      <c r="I55">
        <v>9.3000000000000007</v>
      </c>
      <c r="J55" t="s">
        <v>43</v>
      </c>
      <c r="K55" s="17">
        <v>9.4600000000000009</v>
      </c>
      <c r="L55" t="s">
        <v>15</v>
      </c>
      <c r="M55">
        <v>2019</v>
      </c>
      <c r="N55">
        <v>8564.4501799999998</v>
      </c>
    </row>
    <row r="56" spans="2:14" x14ac:dyDescent="0.25">
      <c r="B56" s="5">
        <v>43832</v>
      </c>
      <c r="C56" t="s">
        <v>22</v>
      </c>
      <c r="D56" t="s">
        <v>39</v>
      </c>
      <c r="E56" t="s">
        <v>14</v>
      </c>
      <c r="F56">
        <v>838.66700000000003</v>
      </c>
      <c r="G56" s="6">
        <v>838.66700000000003</v>
      </c>
      <c r="H56">
        <v>55.3</v>
      </c>
      <c r="I56">
        <v>10</v>
      </c>
      <c r="L56" t="s">
        <v>15</v>
      </c>
      <c r="M56">
        <v>2019</v>
      </c>
      <c r="N56">
        <v>0</v>
      </c>
    </row>
    <row r="57" spans="2:14" x14ac:dyDescent="0.25">
      <c r="B57" s="5">
        <v>43741</v>
      </c>
      <c r="C57" t="s">
        <v>21</v>
      </c>
      <c r="D57" t="s">
        <v>45</v>
      </c>
      <c r="E57" t="s">
        <v>14</v>
      </c>
      <c r="F57">
        <v>687</v>
      </c>
      <c r="G57" s="6">
        <v>687</v>
      </c>
      <c r="H57">
        <v>54.4</v>
      </c>
      <c r="I57">
        <v>10.199999999999999</v>
      </c>
      <c r="J57" t="s">
        <v>43</v>
      </c>
      <c r="K57" s="17">
        <v>9.02</v>
      </c>
      <c r="L57" t="s">
        <v>15</v>
      </c>
      <c r="M57">
        <v>2019</v>
      </c>
      <c r="N57">
        <v>6196.74</v>
      </c>
    </row>
    <row r="58" spans="2:14" x14ac:dyDescent="0.25">
      <c r="B58" s="5">
        <v>43802</v>
      </c>
      <c r="C58" t="s">
        <v>21</v>
      </c>
      <c r="D58" t="s">
        <v>39</v>
      </c>
      <c r="E58" t="s">
        <v>14</v>
      </c>
      <c r="F58">
        <v>885.66700000000003</v>
      </c>
      <c r="G58" s="6">
        <v>883.89599999999996</v>
      </c>
      <c r="H58">
        <v>55.2</v>
      </c>
      <c r="I58">
        <v>9.6999999999999993</v>
      </c>
      <c r="J58" t="s">
        <v>43</v>
      </c>
      <c r="K58" s="17">
        <v>9.02</v>
      </c>
      <c r="L58" t="s">
        <v>15</v>
      </c>
      <c r="M58">
        <v>2019</v>
      </c>
      <c r="N58">
        <v>7972.7419199999995</v>
      </c>
    </row>
    <row r="59" spans="2:14" x14ac:dyDescent="0.25">
      <c r="B59" s="5">
        <v>43802</v>
      </c>
      <c r="C59" t="s">
        <v>21</v>
      </c>
      <c r="D59" t="s">
        <v>39</v>
      </c>
      <c r="E59" t="s">
        <v>14</v>
      </c>
      <c r="F59">
        <v>896</v>
      </c>
      <c r="G59" s="6">
        <v>891.52</v>
      </c>
      <c r="H59">
        <v>55.1</v>
      </c>
      <c r="I59">
        <v>9.8000000000000007</v>
      </c>
      <c r="J59" t="s">
        <v>43</v>
      </c>
      <c r="K59" s="17">
        <v>9.02</v>
      </c>
      <c r="L59" t="s">
        <v>15</v>
      </c>
      <c r="M59">
        <v>2019</v>
      </c>
      <c r="N59">
        <v>8041.5103999999992</v>
      </c>
    </row>
    <row r="60" spans="2:14" x14ac:dyDescent="0.25">
      <c r="B60" s="5">
        <v>43818</v>
      </c>
      <c r="C60" t="s">
        <v>21</v>
      </c>
      <c r="D60" t="s">
        <v>39</v>
      </c>
      <c r="E60" t="s">
        <v>14</v>
      </c>
      <c r="F60">
        <v>839</v>
      </c>
      <c r="G60" s="6">
        <v>493.06200000000001</v>
      </c>
      <c r="H60">
        <v>54.9</v>
      </c>
      <c r="I60">
        <v>10.199999999999999</v>
      </c>
      <c r="J60" t="s">
        <v>43</v>
      </c>
      <c r="K60" s="17">
        <v>9.4600000000000009</v>
      </c>
      <c r="L60" t="s">
        <v>15</v>
      </c>
      <c r="M60">
        <v>2019</v>
      </c>
      <c r="N60">
        <v>4664.3665200000005</v>
      </c>
    </row>
    <row r="61" spans="2:14" x14ac:dyDescent="0.25">
      <c r="B61" s="5">
        <v>43818</v>
      </c>
      <c r="C61" t="s">
        <v>21</v>
      </c>
      <c r="G61" s="6">
        <v>345.93799999999999</v>
      </c>
      <c r="H61">
        <v>54.9</v>
      </c>
      <c r="I61">
        <v>10.199999999999999</v>
      </c>
      <c r="J61" t="s">
        <v>43</v>
      </c>
      <c r="K61" s="17">
        <v>9.49</v>
      </c>
      <c r="L61" t="s">
        <v>15</v>
      </c>
      <c r="M61">
        <v>2019</v>
      </c>
      <c r="N61">
        <v>3282.9516199999998</v>
      </c>
    </row>
    <row r="62" spans="2:14" x14ac:dyDescent="0.25">
      <c r="B62" s="5">
        <v>43832</v>
      </c>
      <c r="C62" t="s">
        <v>21</v>
      </c>
      <c r="D62" t="s">
        <v>39</v>
      </c>
      <c r="E62" t="s">
        <v>14</v>
      </c>
      <c r="F62">
        <v>809.66700000000003</v>
      </c>
      <c r="G62" s="6">
        <v>809.66700000000003</v>
      </c>
      <c r="H62">
        <v>54.6</v>
      </c>
      <c r="I62">
        <v>10.4</v>
      </c>
      <c r="L62" t="s">
        <v>15</v>
      </c>
      <c r="M62">
        <v>2019</v>
      </c>
      <c r="N62">
        <v>0</v>
      </c>
    </row>
    <row r="63" spans="2:14" x14ac:dyDescent="0.25">
      <c r="B63" s="5">
        <v>43801</v>
      </c>
      <c r="C63" t="s">
        <v>23</v>
      </c>
      <c r="D63" t="s">
        <v>39</v>
      </c>
      <c r="E63" t="s">
        <v>14</v>
      </c>
      <c r="F63">
        <v>1102.857</v>
      </c>
      <c r="G63" s="6">
        <v>1102.857</v>
      </c>
      <c r="H63">
        <v>61</v>
      </c>
      <c r="I63">
        <v>15</v>
      </c>
      <c r="J63" t="s">
        <v>43</v>
      </c>
      <c r="K63" s="17">
        <v>4.57</v>
      </c>
      <c r="L63" t="s">
        <v>18</v>
      </c>
      <c r="M63">
        <v>2019</v>
      </c>
      <c r="N63">
        <v>5040.0564899999999</v>
      </c>
    </row>
    <row r="64" spans="2:14" x14ac:dyDescent="0.25">
      <c r="B64" s="5">
        <v>43803</v>
      </c>
      <c r="C64" t="s">
        <v>23</v>
      </c>
      <c r="D64" t="s">
        <v>39</v>
      </c>
      <c r="E64" t="s">
        <v>14</v>
      </c>
      <c r="F64">
        <v>1055</v>
      </c>
      <c r="G64" s="6">
        <v>1055</v>
      </c>
      <c r="H64">
        <v>59.2</v>
      </c>
      <c r="I64">
        <v>14.5</v>
      </c>
      <c r="J64" t="s">
        <v>43</v>
      </c>
      <c r="K64" s="17">
        <v>4.57</v>
      </c>
      <c r="L64" t="s">
        <v>18</v>
      </c>
      <c r="M64">
        <v>2019</v>
      </c>
      <c r="N64">
        <v>4821.3500000000004</v>
      </c>
    </row>
    <row r="65" spans="2:14" x14ac:dyDescent="0.25">
      <c r="B65" s="5">
        <v>43804</v>
      </c>
      <c r="C65" t="s">
        <v>23</v>
      </c>
      <c r="D65" t="s">
        <v>39</v>
      </c>
      <c r="E65" t="s">
        <v>14</v>
      </c>
      <c r="F65">
        <v>1046.0709999999999</v>
      </c>
      <c r="G65" s="6">
        <v>1046.0709999999999</v>
      </c>
      <c r="H65">
        <v>59.7</v>
      </c>
      <c r="I65">
        <v>14.7</v>
      </c>
      <c r="J65" t="s">
        <v>43</v>
      </c>
      <c r="K65" s="17">
        <v>4.57</v>
      </c>
      <c r="L65" t="s">
        <v>18</v>
      </c>
      <c r="M65">
        <v>2019</v>
      </c>
      <c r="N65">
        <v>4780.5444699999998</v>
      </c>
    </row>
    <row r="66" spans="2:14" x14ac:dyDescent="0.25">
      <c r="B66" s="5">
        <v>43832</v>
      </c>
      <c r="C66" t="s">
        <v>23</v>
      </c>
      <c r="D66" t="s">
        <v>39</v>
      </c>
      <c r="E66" t="s">
        <v>14</v>
      </c>
      <c r="F66">
        <v>963.92899999999997</v>
      </c>
      <c r="G66" s="6">
        <v>963.92899999999997</v>
      </c>
      <c r="H66">
        <v>60.2</v>
      </c>
      <c r="I66">
        <v>14.9</v>
      </c>
      <c r="L66" t="s">
        <v>18</v>
      </c>
      <c r="M66">
        <v>2019</v>
      </c>
      <c r="N66">
        <v>0</v>
      </c>
    </row>
    <row r="67" spans="2:14" x14ac:dyDescent="0.25">
      <c r="B67" s="5">
        <v>43832</v>
      </c>
      <c r="C67" t="s">
        <v>23</v>
      </c>
      <c r="D67" t="s">
        <v>39</v>
      </c>
      <c r="E67" t="s">
        <v>14</v>
      </c>
      <c r="F67">
        <v>943.57100000000003</v>
      </c>
      <c r="G67" s="6">
        <v>943.57100000000003</v>
      </c>
      <c r="H67">
        <v>60.7</v>
      </c>
      <c r="I67">
        <v>14.8</v>
      </c>
      <c r="L67" t="s">
        <v>18</v>
      </c>
      <c r="M67">
        <v>2019</v>
      </c>
      <c r="N67">
        <v>0</v>
      </c>
    </row>
    <row r="68" spans="2:14" x14ac:dyDescent="0.25">
      <c r="B68" s="5">
        <v>43833</v>
      </c>
      <c r="C68" t="s">
        <v>23</v>
      </c>
      <c r="D68" t="s">
        <v>39</v>
      </c>
      <c r="E68" t="s">
        <v>14</v>
      </c>
      <c r="F68">
        <v>921.78599999999994</v>
      </c>
      <c r="G68" s="6">
        <v>915.33299999999997</v>
      </c>
      <c r="H68">
        <v>58.7</v>
      </c>
      <c r="I68">
        <v>15.3</v>
      </c>
      <c r="L68" t="s">
        <v>18</v>
      </c>
      <c r="M68">
        <v>2019</v>
      </c>
      <c r="N68">
        <v>0</v>
      </c>
    </row>
    <row r="69" spans="2:14" x14ac:dyDescent="0.25">
      <c r="B69" s="5">
        <v>43833</v>
      </c>
      <c r="C69" t="s">
        <v>23</v>
      </c>
      <c r="D69" t="s">
        <v>39</v>
      </c>
      <c r="E69" t="s">
        <v>14</v>
      </c>
      <c r="F69">
        <v>979.64300000000003</v>
      </c>
      <c r="G69" s="6">
        <v>972.78499999999997</v>
      </c>
      <c r="H69">
        <v>59.7</v>
      </c>
      <c r="I69">
        <v>15.3</v>
      </c>
      <c r="L69" t="s">
        <v>18</v>
      </c>
      <c r="M69">
        <v>2019</v>
      </c>
      <c r="N69">
        <v>0</v>
      </c>
    </row>
    <row r="70" spans="2:14" x14ac:dyDescent="0.25">
      <c r="B70" s="5">
        <v>43833</v>
      </c>
      <c r="C70" t="s">
        <v>23</v>
      </c>
      <c r="D70" t="s">
        <v>39</v>
      </c>
      <c r="E70" t="s">
        <v>14</v>
      </c>
      <c r="F70">
        <v>925.71400000000006</v>
      </c>
      <c r="G70" s="6">
        <v>925.71400000000006</v>
      </c>
      <c r="H70">
        <v>67.2</v>
      </c>
      <c r="I70">
        <v>14</v>
      </c>
      <c r="L70" t="s">
        <v>18</v>
      </c>
      <c r="M70">
        <v>2019</v>
      </c>
      <c r="N70">
        <v>0</v>
      </c>
    </row>
    <row r="71" spans="2:14" x14ac:dyDescent="0.25">
      <c r="B71" s="5">
        <v>43833</v>
      </c>
      <c r="C71" t="s">
        <v>23</v>
      </c>
      <c r="D71" t="s">
        <v>39</v>
      </c>
      <c r="E71" t="s">
        <v>14</v>
      </c>
      <c r="F71">
        <v>946.07100000000003</v>
      </c>
      <c r="G71" s="6">
        <v>939.44899999999996</v>
      </c>
      <c r="H71">
        <v>60.4</v>
      </c>
      <c r="I71">
        <v>15.2</v>
      </c>
      <c r="L71" t="s">
        <v>18</v>
      </c>
      <c r="M71">
        <v>2019</v>
      </c>
      <c r="N71">
        <v>0</v>
      </c>
    </row>
    <row r="72" spans="2:14" x14ac:dyDescent="0.25">
      <c r="B72" s="5">
        <v>43833</v>
      </c>
      <c r="C72" t="s">
        <v>23</v>
      </c>
      <c r="D72" t="s">
        <v>39</v>
      </c>
      <c r="E72" t="s">
        <v>14</v>
      </c>
      <c r="F72">
        <v>923.57100000000003</v>
      </c>
      <c r="G72" s="6">
        <v>923.57100000000003</v>
      </c>
      <c r="H72">
        <v>57.2</v>
      </c>
      <c r="I72">
        <v>13.7</v>
      </c>
      <c r="L72" t="s">
        <v>18</v>
      </c>
      <c r="M72">
        <v>2019</v>
      </c>
      <c r="N72">
        <v>0</v>
      </c>
    </row>
    <row r="73" spans="2:14" x14ac:dyDescent="0.25">
      <c r="B73" s="5">
        <v>43833</v>
      </c>
      <c r="C73" t="s">
        <v>23</v>
      </c>
      <c r="D73" t="s">
        <v>39</v>
      </c>
      <c r="E73" t="s">
        <v>14</v>
      </c>
      <c r="F73">
        <v>923.57100000000003</v>
      </c>
      <c r="G73" s="6">
        <v>917.10599999999999</v>
      </c>
      <c r="H73">
        <v>60.5</v>
      </c>
      <c r="I73">
        <v>15.3</v>
      </c>
      <c r="L73" t="s">
        <v>18</v>
      </c>
      <c r="M73">
        <v>2019</v>
      </c>
      <c r="N73">
        <v>0</v>
      </c>
    </row>
    <row r="74" spans="2:14" x14ac:dyDescent="0.25">
      <c r="B74" s="5">
        <v>43833</v>
      </c>
      <c r="C74" t="s">
        <v>23</v>
      </c>
      <c r="D74" t="s">
        <v>39</v>
      </c>
      <c r="E74" t="s">
        <v>14</v>
      </c>
      <c r="F74">
        <v>923.92899999999997</v>
      </c>
      <c r="G74" s="6">
        <v>917.46100000000001</v>
      </c>
      <c r="H74">
        <v>60.3</v>
      </c>
      <c r="I74">
        <v>15.4</v>
      </c>
      <c r="L74" t="s">
        <v>18</v>
      </c>
      <c r="M74">
        <v>2019</v>
      </c>
      <c r="N74">
        <v>0</v>
      </c>
    </row>
    <row r="75" spans="2:14" x14ac:dyDescent="0.25">
      <c r="B75" s="5">
        <v>43748</v>
      </c>
      <c r="C75" t="s">
        <v>27</v>
      </c>
      <c r="D75" t="s">
        <v>45</v>
      </c>
      <c r="E75" t="s">
        <v>14</v>
      </c>
      <c r="F75">
        <v>908.33</v>
      </c>
      <c r="G75" s="6">
        <v>908.33</v>
      </c>
      <c r="H75">
        <v>56.2</v>
      </c>
      <c r="L75" t="s">
        <v>15</v>
      </c>
      <c r="M75">
        <v>2019</v>
      </c>
      <c r="N75">
        <v>0</v>
      </c>
    </row>
    <row r="76" spans="2:14" x14ac:dyDescent="0.25">
      <c r="B76" s="5">
        <v>43760</v>
      </c>
      <c r="C76" t="s">
        <v>27</v>
      </c>
      <c r="D76" t="s">
        <v>45</v>
      </c>
      <c r="E76" t="s">
        <v>14</v>
      </c>
      <c r="F76">
        <v>848.67</v>
      </c>
      <c r="G76" s="6">
        <v>848.67</v>
      </c>
      <c r="H76">
        <v>56.1</v>
      </c>
      <c r="I76">
        <v>11.9</v>
      </c>
      <c r="L76" t="s">
        <v>15</v>
      </c>
      <c r="M76">
        <v>2019</v>
      </c>
      <c r="N76">
        <v>0</v>
      </c>
    </row>
    <row r="77" spans="2:14" x14ac:dyDescent="0.25">
      <c r="B77" s="5">
        <v>43783</v>
      </c>
      <c r="C77" t="s">
        <v>27</v>
      </c>
      <c r="D77" t="s">
        <v>39</v>
      </c>
      <c r="E77" t="s">
        <v>14</v>
      </c>
      <c r="F77">
        <v>876</v>
      </c>
      <c r="G77" s="6">
        <v>876</v>
      </c>
      <c r="H77">
        <v>56.7</v>
      </c>
      <c r="I77">
        <v>11.7</v>
      </c>
      <c r="J77" t="s">
        <v>43</v>
      </c>
      <c r="K77" s="17">
        <v>9.36</v>
      </c>
      <c r="L77" t="s">
        <v>15</v>
      </c>
      <c r="M77">
        <v>2019</v>
      </c>
      <c r="N77">
        <v>8199.3599999999988</v>
      </c>
    </row>
    <row r="78" spans="2:14" x14ac:dyDescent="0.25">
      <c r="B78" s="5">
        <v>43783</v>
      </c>
      <c r="C78" t="s">
        <v>27</v>
      </c>
      <c r="D78" t="s">
        <v>39</v>
      </c>
      <c r="E78" t="s">
        <v>14</v>
      </c>
      <c r="F78">
        <v>930</v>
      </c>
      <c r="G78" s="6">
        <v>930</v>
      </c>
      <c r="H78">
        <v>57.3</v>
      </c>
      <c r="I78">
        <v>11.3</v>
      </c>
      <c r="J78" t="s">
        <v>43</v>
      </c>
      <c r="K78" s="17">
        <v>9.36</v>
      </c>
      <c r="L78" t="s">
        <v>15</v>
      </c>
      <c r="M78">
        <v>2019</v>
      </c>
      <c r="N78">
        <v>8704.7999999999993</v>
      </c>
    </row>
    <row r="79" spans="2:14" x14ac:dyDescent="0.25">
      <c r="B79" s="5">
        <v>43784</v>
      </c>
      <c r="C79" t="s">
        <v>27</v>
      </c>
      <c r="D79" t="s">
        <v>39</v>
      </c>
      <c r="E79" t="s">
        <v>14</v>
      </c>
      <c r="F79">
        <v>929</v>
      </c>
      <c r="G79" s="6">
        <v>929</v>
      </c>
      <c r="H79">
        <v>56.5</v>
      </c>
      <c r="I79">
        <v>11.3</v>
      </c>
      <c r="J79" t="s">
        <v>43</v>
      </c>
      <c r="K79" s="17">
        <v>9.39</v>
      </c>
      <c r="L79" t="s">
        <v>15</v>
      </c>
      <c r="M79">
        <v>2019</v>
      </c>
      <c r="N79">
        <v>8723.3100000000013</v>
      </c>
    </row>
    <row r="80" spans="2:14" x14ac:dyDescent="0.25">
      <c r="B80" s="5">
        <v>43784</v>
      </c>
      <c r="C80" t="s">
        <v>27</v>
      </c>
      <c r="D80" t="s">
        <v>39</v>
      </c>
      <c r="E80" t="s">
        <v>14</v>
      </c>
      <c r="F80">
        <v>919.66700000000003</v>
      </c>
      <c r="G80" s="6">
        <v>919.66700000000003</v>
      </c>
      <c r="H80">
        <v>56.6</v>
      </c>
      <c r="I80">
        <v>11.3</v>
      </c>
      <c r="J80" t="s">
        <v>43</v>
      </c>
      <c r="K80" s="17">
        <v>9.39</v>
      </c>
      <c r="L80" t="s">
        <v>15</v>
      </c>
      <c r="M80">
        <v>2019</v>
      </c>
      <c r="N80">
        <v>8635.673130000001</v>
      </c>
    </row>
    <row r="81" spans="2:14" x14ac:dyDescent="0.25">
      <c r="B81" s="5">
        <v>43811</v>
      </c>
      <c r="C81" t="s">
        <v>27</v>
      </c>
      <c r="D81" t="s">
        <v>39</v>
      </c>
      <c r="E81" t="s">
        <v>14</v>
      </c>
      <c r="F81">
        <v>929.33299999999997</v>
      </c>
      <c r="G81" s="6">
        <v>929.33299999999997</v>
      </c>
      <c r="H81">
        <v>56.2</v>
      </c>
      <c r="I81">
        <v>11.3</v>
      </c>
      <c r="J81" t="s">
        <v>43</v>
      </c>
      <c r="K81" s="17">
        <v>9.17</v>
      </c>
      <c r="L81" t="s">
        <v>15</v>
      </c>
      <c r="M81">
        <v>2019</v>
      </c>
      <c r="N81">
        <v>8521.9836099999993</v>
      </c>
    </row>
    <row r="82" spans="2:14" x14ac:dyDescent="0.25">
      <c r="B82" s="5">
        <v>43811</v>
      </c>
      <c r="C82" t="s">
        <v>27</v>
      </c>
      <c r="D82" t="s">
        <v>39</v>
      </c>
      <c r="E82" t="s">
        <v>14</v>
      </c>
      <c r="F82">
        <v>172.06200000000001</v>
      </c>
      <c r="G82" s="6">
        <v>172.06200000000001</v>
      </c>
      <c r="H82">
        <v>56.9</v>
      </c>
      <c r="I82">
        <v>11</v>
      </c>
      <c r="J82" t="s">
        <v>43</v>
      </c>
      <c r="K82" s="17">
        <v>9.17</v>
      </c>
      <c r="L82" t="s">
        <v>15</v>
      </c>
      <c r="M82">
        <v>2019</v>
      </c>
      <c r="N82">
        <v>1577.80854</v>
      </c>
    </row>
    <row r="83" spans="2:14" x14ac:dyDescent="0.25">
      <c r="B83" s="5">
        <v>43811</v>
      </c>
      <c r="C83" t="s">
        <v>27</v>
      </c>
      <c r="D83" t="s">
        <v>39</v>
      </c>
      <c r="E83" t="s">
        <v>14</v>
      </c>
      <c r="G83" s="6">
        <v>795.60500000000002</v>
      </c>
      <c r="H83">
        <v>56.9</v>
      </c>
      <c r="I83">
        <v>11</v>
      </c>
      <c r="J83" t="s">
        <v>43</v>
      </c>
      <c r="K83" s="17">
        <v>9.4600000000000009</v>
      </c>
      <c r="L83" t="s">
        <v>15</v>
      </c>
      <c r="M83">
        <v>2019</v>
      </c>
      <c r="N83">
        <v>7526.4233000000013</v>
      </c>
    </row>
    <row r="84" spans="2:14" x14ac:dyDescent="0.25">
      <c r="B84" s="5">
        <v>43817</v>
      </c>
      <c r="C84" t="s">
        <v>27</v>
      </c>
      <c r="D84" t="s">
        <v>39</v>
      </c>
      <c r="E84" t="s">
        <v>14</v>
      </c>
      <c r="F84">
        <v>945</v>
      </c>
      <c r="G84" s="6">
        <v>945</v>
      </c>
      <c r="H84">
        <v>56.4</v>
      </c>
      <c r="I84">
        <v>11</v>
      </c>
      <c r="J84" t="s">
        <v>43</v>
      </c>
      <c r="K84" s="17">
        <v>9.4600000000000009</v>
      </c>
      <c r="L84" t="s">
        <v>15</v>
      </c>
      <c r="M84">
        <v>2019</v>
      </c>
      <c r="N84">
        <v>8939.7000000000007</v>
      </c>
    </row>
    <row r="85" spans="2:14" x14ac:dyDescent="0.25">
      <c r="B85" s="5">
        <v>43817</v>
      </c>
      <c r="C85" t="s">
        <v>27</v>
      </c>
      <c r="D85" t="s">
        <v>39</v>
      </c>
      <c r="E85" t="s">
        <v>14</v>
      </c>
      <c r="F85">
        <v>908.66700000000003</v>
      </c>
      <c r="G85" s="6">
        <v>908.66700000000003</v>
      </c>
      <c r="H85">
        <v>56.4</v>
      </c>
      <c r="I85">
        <v>11</v>
      </c>
      <c r="J85" t="s">
        <v>43</v>
      </c>
      <c r="K85" s="17">
        <v>9.4600000000000009</v>
      </c>
      <c r="L85" t="s">
        <v>15</v>
      </c>
      <c r="M85">
        <v>2019</v>
      </c>
      <c r="N85">
        <v>8595.9898200000007</v>
      </c>
    </row>
    <row r="86" spans="2:14" x14ac:dyDescent="0.25">
      <c r="B86" s="5">
        <v>43818</v>
      </c>
      <c r="C86" t="s">
        <v>27</v>
      </c>
      <c r="D86" t="s">
        <v>39</v>
      </c>
      <c r="E86" t="s">
        <v>14</v>
      </c>
      <c r="F86">
        <v>952.33299999999997</v>
      </c>
      <c r="G86" s="6">
        <v>952.33299999999997</v>
      </c>
      <c r="H86">
        <v>57.1</v>
      </c>
      <c r="I86">
        <v>11.2</v>
      </c>
      <c r="J86" t="s">
        <v>43</v>
      </c>
      <c r="K86" s="17">
        <v>9.4600000000000009</v>
      </c>
      <c r="L86" t="s">
        <v>15</v>
      </c>
      <c r="M86">
        <v>2019</v>
      </c>
      <c r="N86">
        <v>9009.0701800000006</v>
      </c>
    </row>
    <row r="87" spans="2:14" x14ac:dyDescent="0.25">
      <c r="B87" s="5">
        <v>43818</v>
      </c>
      <c r="C87" t="s">
        <v>27</v>
      </c>
      <c r="D87" t="s">
        <v>39</v>
      </c>
      <c r="E87" t="s">
        <v>14</v>
      </c>
      <c r="F87">
        <v>929.66700000000003</v>
      </c>
      <c r="G87" s="6">
        <v>929.66700000000003</v>
      </c>
      <c r="H87">
        <v>56.7</v>
      </c>
      <c r="I87">
        <v>11</v>
      </c>
      <c r="J87" t="s">
        <v>43</v>
      </c>
      <c r="K87" s="17">
        <v>9.49</v>
      </c>
      <c r="L87" t="s">
        <v>15</v>
      </c>
      <c r="M87">
        <v>2019</v>
      </c>
      <c r="N87">
        <v>8822.5398299999997</v>
      </c>
    </row>
    <row r="88" spans="2:14" x14ac:dyDescent="0.25">
      <c r="B88" s="5">
        <v>43826</v>
      </c>
      <c r="C88" t="s">
        <v>27</v>
      </c>
      <c r="D88" t="s">
        <v>39</v>
      </c>
      <c r="E88" t="s">
        <v>14</v>
      </c>
      <c r="F88">
        <v>766</v>
      </c>
      <c r="G88" s="6">
        <v>766</v>
      </c>
      <c r="H88">
        <v>52.7</v>
      </c>
      <c r="I88">
        <v>12.2</v>
      </c>
      <c r="J88" t="s">
        <v>43</v>
      </c>
      <c r="K88" s="17">
        <v>9.5</v>
      </c>
      <c r="L88" t="s">
        <v>15</v>
      </c>
      <c r="M88">
        <v>2019</v>
      </c>
      <c r="N88">
        <v>7277</v>
      </c>
    </row>
    <row r="89" spans="2:14" x14ac:dyDescent="0.25">
      <c r="B89" s="5">
        <v>43826</v>
      </c>
      <c r="C89" t="s">
        <v>27</v>
      </c>
      <c r="D89" t="s">
        <v>39</v>
      </c>
      <c r="E89" t="s">
        <v>14</v>
      </c>
      <c r="F89">
        <v>901</v>
      </c>
      <c r="G89" s="6">
        <v>901</v>
      </c>
      <c r="H89">
        <v>54.9</v>
      </c>
      <c r="I89">
        <v>11.7</v>
      </c>
      <c r="J89" t="s">
        <v>43</v>
      </c>
      <c r="K89" s="17">
        <v>9.5</v>
      </c>
      <c r="L89" t="s">
        <v>15</v>
      </c>
      <c r="M89">
        <v>2019</v>
      </c>
      <c r="N89">
        <v>8559.5</v>
      </c>
    </row>
    <row r="90" spans="2:14" x14ac:dyDescent="0.25">
      <c r="B90" s="5">
        <v>43826</v>
      </c>
      <c r="C90" t="s">
        <v>27</v>
      </c>
      <c r="D90" t="s">
        <v>39</v>
      </c>
      <c r="E90" t="s">
        <v>14</v>
      </c>
      <c r="F90">
        <v>942.66700000000003</v>
      </c>
      <c r="G90" s="6">
        <v>942.66700000000003</v>
      </c>
      <c r="H90">
        <v>55.2</v>
      </c>
      <c r="I90">
        <v>11.7</v>
      </c>
      <c r="J90" t="s">
        <v>43</v>
      </c>
      <c r="K90" s="17">
        <v>9.5</v>
      </c>
      <c r="L90" t="s">
        <v>15</v>
      </c>
      <c r="M90">
        <v>2019</v>
      </c>
      <c r="N90">
        <v>8955.3364999999994</v>
      </c>
    </row>
    <row r="91" spans="2:14" x14ac:dyDescent="0.25">
      <c r="B91" s="5">
        <v>43826</v>
      </c>
      <c r="C91" t="s">
        <v>27</v>
      </c>
      <c r="D91" t="s">
        <v>39</v>
      </c>
      <c r="E91" t="s">
        <v>14</v>
      </c>
      <c r="F91">
        <v>920</v>
      </c>
      <c r="G91" s="6">
        <v>920</v>
      </c>
      <c r="H91">
        <v>55.3</v>
      </c>
      <c r="I91">
        <v>12</v>
      </c>
      <c r="J91" t="s">
        <v>43</v>
      </c>
      <c r="K91" s="17">
        <v>9.5</v>
      </c>
      <c r="L91" t="s">
        <v>15</v>
      </c>
      <c r="M91">
        <v>2019</v>
      </c>
      <c r="N91">
        <v>8740</v>
      </c>
    </row>
    <row r="92" spans="2:14" x14ac:dyDescent="0.25">
      <c r="B92" s="5">
        <v>43826</v>
      </c>
      <c r="C92" t="s">
        <v>27</v>
      </c>
      <c r="D92" t="s">
        <v>39</v>
      </c>
      <c r="E92" t="s">
        <v>14</v>
      </c>
      <c r="F92">
        <v>959.66700000000003</v>
      </c>
      <c r="G92" s="6">
        <v>959.66700000000003</v>
      </c>
      <c r="H92">
        <v>55.2</v>
      </c>
      <c r="I92">
        <v>12</v>
      </c>
      <c r="J92" t="s">
        <v>43</v>
      </c>
      <c r="K92" s="17">
        <v>9.5</v>
      </c>
      <c r="L92" t="s">
        <v>15</v>
      </c>
      <c r="M92">
        <v>2019</v>
      </c>
      <c r="N92">
        <v>9116.8364999999994</v>
      </c>
    </row>
    <row r="93" spans="2:14" x14ac:dyDescent="0.25">
      <c r="B93" s="5">
        <v>43802</v>
      </c>
      <c r="C93" t="s">
        <v>27</v>
      </c>
      <c r="D93" t="s">
        <v>39</v>
      </c>
      <c r="E93" t="s">
        <v>14</v>
      </c>
      <c r="F93">
        <v>952.66700000000003</v>
      </c>
      <c r="G93" s="6">
        <v>948.85599999999999</v>
      </c>
      <c r="H93">
        <v>56.8</v>
      </c>
      <c r="I93">
        <v>12</v>
      </c>
      <c r="J93" t="s">
        <v>43</v>
      </c>
      <c r="K93" s="17">
        <v>9.02</v>
      </c>
      <c r="L93" t="s">
        <v>15</v>
      </c>
      <c r="M93">
        <v>2019</v>
      </c>
      <c r="N93">
        <v>8558.6811199999993</v>
      </c>
    </row>
    <row r="94" spans="2:14" x14ac:dyDescent="0.25">
      <c r="B94" s="5">
        <v>43802</v>
      </c>
      <c r="C94" t="s">
        <v>27</v>
      </c>
      <c r="D94" t="s">
        <v>39</v>
      </c>
      <c r="E94" t="s">
        <v>14</v>
      </c>
      <c r="F94">
        <v>918.33299999999997</v>
      </c>
      <c r="G94" s="6">
        <v>918.33299999999997</v>
      </c>
      <c r="H94">
        <v>57.2</v>
      </c>
      <c r="I94">
        <v>11.8</v>
      </c>
      <c r="J94" t="s">
        <v>43</v>
      </c>
      <c r="K94" s="17">
        <v>9.02</v>
      </c>
      <c r="L94" t="s">
        <v>15</v>
      </c>
      <c r="M94">
        <v>2019</v>
      </c>
      <c r="N94">
        <v>8283.3636599999991</v>
      </c>
    </row>
    <row r="95" spans="2:14" x14ac:dyDescent="0.25">
      <c r="B95" s="5">
        <v>43803</v>
      </c>
      <c r="C95" t="s">
        <v>27</v>
      </c>
      <c r="D95" t="s">
        <v>39</v>
      </c>
      <c r="E95" t="s">
        <v>14</v>
      </c>
      <c r="F95">
        <v>942.66700000000003</v>
      </c>
      <c r="G95" s="6">
        <v>459.39499999999998</v>
      </c>
      <c r="H95">
        <v>57</v>
      </c>
      <c r="I95">
        <v>11.7</v>
      </c>
      <c r="J95" t="s">
        <v>43</v>
      </c>
      <c r="K95" s="17">
        <v>9.02</v>
      </c>
      <c r="L95" t="s">
        <v>15</v>
      </c>
      <c r="M95">
        <v>2019</v>
      </c>
      <c r="N95">
        <v>4143.7428999999993</v>
      </c>
    </row>
    <row r="96" spans="2:14" x14ac:dyDescent="0.25">
      <c r="B96" s="5">
        <v>43803</v>
      </c>
      <c r="C96" t="s">
        <v>27</v>
      </c>
      <c r="D96" t="s">
        <v>39</v>
      </c>
      <c r="E96" t="s">
        <v>14</v>
      </c>
      <c r="G96" s="6">
        <v>483.27199999999999</v>
      </c>
      <c r="J96" t="s">
        <v>43</v>
      </c>
      <c r="K96" s="17">
        <v>9.17</v>
      </c>
      <c r="L96" t="s">
        <v>15</v>
      </c>
      <c r="M96">
        <v>2019</v>
      </c>
      <c r="N96">
        <v>4431.6042399999997</v>
      </c>
    </row>
    <row r="97" spans="2:14" x14ac:dyDescent="0.25">
      <c r="B97" s="5">
        <v>43803</v>
      </c>
      <c r="C97" t="s">
        <v>27</v>
      </c>
      <c r="D97" t="s">
        <v>39</v>
      </c>
      <c r="E97" t="s">
        <v>14</v>
      </c>
      <c r="F97">
        <v>932</v>
      </c>
      <c r="G97" s="6">
        <v>932</v>
      </c>
      <c r="H97">
        <v>56.9</v>
      </c>
      <c r="I97">
        <v>11.3</v>
      </c>
      <c r="J97" t="s">
        <v>43</v>
      </c>
      <c r="K97" s="17">
        <v>9.17</v>
      </c>
      <c r="L97" t="s">
        <v>15</v>
      </c>
      <c r="M97">
        <v>2019</v>
      </c>
      <c r="N97">
        <v>8546.44</v>
      </c>
    </row>
    <row r="98" spans="2:14" x14ac:dyDescent="0.25">
      <c r="B98" s="5">
        <v>43803</v>
      </c>
      <c r="C98" t="s">
        <v>27</v>
      </c>
      <c r="D98" t="s">
        <v>39</v>
      </c>
      <c r="E98" t="s">
        <v>14</v>
      </c>
      <c r="F98">
        <v>1009</v>
      </c>
      <c r="G98" s="6">
        <v>1009</v>
      </c>
      <c r="H98">
        <v>56.5</v>
      </c>
      <c r="I98">
        <v>11</v>
      </c>
      <c r="J98" t="s">
        <v>43</v>
      </c>
      <c r="K98" s="17">
        <v>9.17</v>
      </c>
      <c r="L98" t="s">
        <v>15</v>
      </c>
      <c r="M98">
        <v>2019</v>
      </c>
      <c r="N98">
        <v>9252.5300000000007</v>
      </c>
    </row>
    <row r="99" spans="2:14" x14ac:dyDescent="0.25">
      <c r="B99" s="5">
        <v>43804</v>
      </c>
      <c r="C99" t="s">
        <v>27</v>
      </c>
      <c r="D99" t="s">
        <v>39</v>
      </c>
      <c r="E99" t="s">
        <v>14</v>
      </c>
      <c r="F99">
        <v>961.33299999999997</v>
      </c>
      <c r="G99" s="6">
        <v>961.33299999999997</v>
      </c>
      <c r="H99">
        <v>56.8</v>
      </c>
      <c r="I99">
        <v>11</v>
      </c>
      <c r="J99" t="s">
        <v>43</v>
      </c>
      <c r="K99" s="17">
        <v>9.17</v>
      </c>
      <c r="L99" t="s">
        <v>15</v>
      </c>
      <c r="M99">
        <v>2019</v>
      </c>
      <c r="N99">
        <v>8815.4236099999998</v>
      </c>
    </row>
    <row r="100" spans="2:14" x14ac:dyDescent="0.25">
      <c r="B100" s="5">
        <v>43804</v>
      </c>
      <c r="C100" t="s">
        <v>27</v>
      </c>
      <c r="D100" t="s">
        <v>39</v>
      </c>
      <c r="E100" t="s">
        <v>14</v>
      </c>
      <c r="F100">
        <v>986.33299999999997</v>
      </c>
      <c r="G100" s="6">
        <v>986.33299999999997</v>
      </c>
      <c r="H100">
        <v>56.9</v>
      </c>
      <c r="I100">
        <v>11</v>
      </c>
      <c r="J100" t="s">
        <v>43</v>
      </c>
      <c r="K100" s="17">
        <v>9.17</v>
      </c>
      <c r="L100" t="s">
        <v>15</v>
      </c>
      <c r="M100">
        <v>2019</v>
      </c>
      <c r="N100">
        <v>9044.6736099999998</v>
      </c>
    </row>
    <row r="101" spans="2:14" x14ac:dyDescent="0.25">
      <c r="B101" s="5">
        <v>43804</v>
      </c>
      <c r="C101" t="s">
        <v>27</v>
      </c>
      <c r="D101" t="s">
        <v>39</v>
      </c>
      <c r="E101" t="s">
        <v>14</v>
      </c>
      <c r="F101">
        <v>977.66700000000003</v>
      </c>
      <c r="G101" s="6">
        <v>977.66700000000003</v>
      </c>
      <c r="H101">
        <v>56.6</v>
      </c>
      <c r="I101">
        <v>11</v>
      </c>
      <c r="J101" t="s">
        <v>43</v>
      </c>
      <c r="K101" s="17">
        <v>9.17</v>
      </c>
      <c r="L101" t="s">
        <v>15</v>
      </c>
      <c r="M101">
        <v>2019</v>
      </c>
      <c r="N101">
        <v>8965.2063899999994</v>
      </c>
    </row>
    <row r="102" spans="2:14" x14ac:dyDescent="0.25">
      <c r="B102" s="5">
        <v>43805</v>
      </c>
      <c r="C102" t="s">
        <v>27</v>
      </c>
      <c r="D102" t="s">
        <v>39</v>
      </c>
      <c r="E102" t="s">
        <v>14</v>
      </c>
      <c r="F102">
        <v>981.33299999999997</v>
      </c>
      <c r="G102" s="6">
        <v>981.33299999999997</v>
      </c>
      <c r="H102">
        <v>56.4</v>
      </c>
      <c r="I102">
        <v>11.2</v>
      </c>
      <c r="J102" t="s">
        <v>43</v>
      </c>
      <c r="K102" s="17">
        <v>9.17</v>
      </c>
      <c r="L102" t="s">
        <v>15</v>
      </c>
      <c r="M102">
        <v>2019</v>
      </c>
      <c r="N102">
        <v>8998.8236099999995</v>
      </c>
    </row>
    <row r="103" spans="2:14" x14ac:dyDescent="0.25">
      <c r="B103" s="5">
        <v>43810</v>
      </c>
      <c r="C103" t="s">
        <v>27</v>
      </c>
      <c r="D103" t="s">
        <v>39</v>
      </c>
      <c r="E103" t="s">
        <v>14</v>
      </c>
      <c r="F103">
        <v>983.66700000000003</v>
      </c>
      <c r="G103" s="6">
        <v>983.66700000000003</v>
      </c>
      <c r="H103">
        <v>56.9</v>
      </c>
      <c r="I103">
        <v>11.2</v>
      </c>
      <c r="J103" t="s">
        <v>43</v>
      </c>
      <c r="K103" s="17">
        <v>9.17</v>
      </c>
      <c r="L103" t="s">
        <v>15</v>
      </c>
      <c r="M103">
        <v>2019</v>
      </c>
      <c r="N103">
        <v>9020.2263899999998</v>
      </c>
    </row>
    <row r="104" spans="2:14" x14ac:dyDescent="0.25">
      <c r="B104" s="5">
        <v>43810</v>
      </c>
      <c r="C104" t="s">
        <v>27</v>
      </c>
      <c r="D104" t="s">
        <v>39</v>
      </c>
      <c r="E104" t="s">
        <v>14</v>
      </c>
      <c r="F104">
        <v>974.66700000000003</v>
      </c>
      <c r="G104" s="6">
        <v>974.66700000000003</v>
      </c>
      <c r="H104">
        <v>57</v>
      </c>
      <c r="I104">
        <v>11.4</v>
      </c>
      <c r="J104" t="s">
        <v>43</v>
      </c>
      <c r="K104" s="17">
        <v>9.17</v>
      </c>
      <c r="L104" t="s">
        <v>15</v>
      </c>
      <c r="M104">
        <v>2019</v>
      </c>
      <c r="N104">
        <v>8937.696390000001</v>
      </c>
    </row>
    <row r="105" spans="2:14" x14ac:dyDescent="0.25">
      <c r="B105" s="5">
        <v>43810</v>
      </c>
      <c r="C105" t="s">
        <v>27</v>
      </c>
      <c r="D105" t="s">
        <v>39</v>
      </c>
      <c r="E105" t="s">
        <v>14</v>
      </c>
      <c r="F105">
        <v>609.33299999999997</v>
      </c>
      <c r="G105" s="6">
        <v>609.33299999999997</v>
      </c>
      <c r="H105">
        <v>56.6</v>
      </c>
      <c r="I105">
        <v>11.3</v>
      </c>
      <c r="J105" t="s">
        <v>43</v>
      </c>
      <c r="K105" s="17">
        <v>9.17</v>
      </c>
      <c r="L105" t="s">
        <v>15</v>
      </c>
      <c r="M105">
        <v>2019</v>
      </c>
      <c r="N105">
        <v>5587.5836099999997</v>
      </c>
    </row>
    <row r="106" spans="2:14" x14ac:dyDescent="0.25">
      <c r="B106" s="5">
        <v>44082</v>
      </c>
      <c r="C106" t="s">
        <v>24</v>
      </c>
      <c r="D106" t="s">
        <v>46</v>
      </c>
      <c r="E106" t="s">
        <v>14</v>
      </c>
      <c r="F106">
        <v>708</v>
      </c>
      <c r="G106" s="6">
        <v>676.14</v>
      </c>
      <c r="I106">
        <v>14.3</v>
      </c>
      <c r="J106" t="s">
        <v>43</v>
      </c>
      <c r="K106" s="17">
        <v>9.06</v>
      </c>
      <c r="L106" t="s">
        <v>15</v>
      </c>
      <c r="M106">
        <v>2020</v>
      </c>
      <c r="N106">
        <v>6125.8284000000003</v>
      </c>
    </row>
    <row r="107" spans="2:14" x14ac:dyDescent="0.25">
      <c r="B107" s="5">
        <v>44085</v>
      </c>
      <c r="C107" t="s">
        <v>24</v>
      </c>
      <c r="D107" t="s">
        <v>46</v>
      </c>
      <c r="E107" t="s">
        <v>14</v>
      </c>
      <c r="F107">
        <v>803</v>
      </c>
      <c r="G107" s="6">
        <v>718.68499999999995</v>
      </c>
      <c r="I107">
        <v>16.3</v>
      </c>
      <c r="J107" t="s">
        <v>43</v>
      </c>
      <c r="K107" s="17">
        <v>9</v>
      </c>
      <c r="L107" t="s">
        <v>15</v>
      </c>
      <c r="M107">
        <v>2020</v>
      </c>
      <c r="N107">
        <v>6468.1649999999991</v>
      </c>
    </row>
    <row r="108" spans="2:14" x14ac:dyDescent="0.25">
      <c r="B108" s="5">
        <v>44202</v>
      </c>
      <c r="C108" t="s">
        <v>24</v>
      </c>
      <c r="D108" t="s">
        <v>46</v>
      </c>
      <c r="E108" t="s">
        <v>14</v>
      </c>
      <c r="F108">
        <v>707.66700000000003</v>
      </c>
      <c r="G108" s="6">
        <v>654.56200000000001</v>
      </c>
      <c r="I108">
        <v>15.2</v>
      </c>
      <c r="J108" t="s">
        <v>43</v>
      </c>
      <c r="K108" s="17">
        <v>9.1300000000000008</v>
      </c>
      <c r="L108" t="s">
        <v>15</v>
      </c>
      <c r="M108">
        <v>2020</v>
      </c>
      <c r="N108">
        <v>5976.1510600000011</v>
      </c>
    </row>
    <row r="109" spans="2:14" x14ac:dyDescent="0.25">
      <c r="B109" s="5">
        <v>44224</v>
      </c>
      <c r="C109" t="s">
        <v>24</v>
      </c>
      <c r="D109" t="s">
        <v>46</v>
      </c>
      <c r="E109" t="s">
        <v>14</v>
      </c>
      <c r="F109">
        <v>748.66700000000003</v>
      </c>
      <c r="G109" s="6">
        <v>737.43700000000001</v>
      </c>
      <c r="I109">
        <v>13.5</v>
      </c>
      <c r="J109" t="s">
        <v>43</v>
      </c>
      <c r="K109" s="17">
        <v>13.86</v>
      </c>
      <c r="L109" t="s">
        <v>15</v>
      </c>
      <c r="M109">
        <v>2020</v>
      </c>
      <c r="N109">
        <v>10220.876819999999</v>
      </c>
    </row>
    <row r="110" spans="2:14" x14ac:dyDescent="0.25">
      <c r="B110" s="5">
        <v>44224</v>
      </c>
      <c r="C110" t="s">
        <v>24</v>
      </c>
      <c r="D110" t="s">
        <v>46</v>
      </c>
      <c r="E110" t="s">
        <v>14</v>
      </c>
      <c r="F110">
        <v>810</v>
      </c>
      <c r="G110" s="6">
        <v>797.85</v>
      </c>
      <c r="I110">
        <v>13.5</v>
      </c>
      <c r="J110" t="s">
        <v>43</v>
      </c>
      <c r="K110" s="17">
        <v>13.86</v>
      </c>
      <c r="L110" t="s">
        <v>15</v>
      </c>
      <c r="M110">
        <v>2020</v>
      </c>
      <c r="N110">
        <v>11058.200999999999</v>
      </c>
    </row>
    <row r="111" spans="2:14" x14ac:dyDescent="0.25">
      <c r="B111" s="5">
        <v>44322</v>
      </c>
      <c r="C111" t="s">
        <v>24</v>
      </c>
      <c r="D111" t="s">
        <v>46</v>
      </c>
      <c r="E111" t="s">
        <v>14</v>
      </c>
      <c r="F111">
        <v>709</v>
      </c>
      <c r="G111" s="6">
        <v>691.27499999999998</v>
      </c>
      <c r="I111">
        <v>13</v>
      </c>
      <c r="K111" s="17">
        <v>16.22</v>
      </c>
      <c r="L111" t="s">
        <v>15</v>
      </c>
      <c r="M111">
        <v>2020</v>
      </c>
      <c r="N111">
        <v>11212.4805</v>
      </c>
    </row>
    <row r="112" spans="2:14" x14ac:dyDescent="0.25">
      <c r="B112" s="5">
        <v>44322</v>
      </c>
      <c r="C112" t="s">
        <v>24</v>
      </c>
      <c r="D112" t="s">
        <v>47</v>
      </c>
      <c r="F112">
        <v>10.742000000000001</v>
      </c>
      <c r="G112" s="6">
        <v>10.635</v>
      </c>
      <c r="I112">
        <v>13</v>
      </c>
      <c r="K112" s="17">
        <v>16.25</v>
      </c>
      <c r="L112" t="s">
        <v>15</v>
      </c>
      <c r="M112">
        <v>2020</v>
      </c>
      <c r="N112">
        <v>172.81874999999999</v>
      </c>
    </row>
    <row r="113" spans="2:14" x14ac:dyDescent="0.25">
      <c r="B113" s="5">
        <v>44322</v>
      </c>
      <c r="C113" t="s">
        <v>24</v>
      </c>
      <c r="D113" t="s">
        <v>46</v>
      </c>
      <c r="E113" t="s">
        <v>14</v>
      </c>
      <c r="F113">
        <v>593.66700000000003</v>
      </c>
      <c r="G113" s="6">
        <v>108.72499999999999</v>
      </c>
      <c r="I113">
        <v>12.3</v>
      </c>
      <c r="K113" s="17">
        <v>16.22</v>
      </c>
      <c r="L113" t="s">
        <v>15</v>
      </c>
      <c r="M113">
        <v>2020</v>
      </c>
      <c r="N113">
        <v>1763.5194999999999</v>
      </c>
    </row>
    <row r="114" spans="2:14" x14ac:dyDescent="0.25">
      <c r="B114" s="5">
        <v>44228</v>
      </c>
      <c r="C114" t="s">
        <v>26</v>
      </c>
      <c r="D114" t="s">
        <v>46</v>
      </c>
      <c r="E114" t="s">
        <v>14</v>
      </c>
      <c r="F114">
        <v>880</v>
      </c>
      <c r="G114" s="6">
        <v>880</v>
      </c>
      <c r="H114">
        <v>58.2</v>
      </c>
      <c r="I114">
        <v>11.2</v>
      </c>
      <c r="J114" t="s">
        <v>43</v>
      </c>
      <c r="K114" s="17">
        <v>12.18</v>
      </c>
      <c r="L114" t="s">
        <v>15</v>
      </c>
      <c r="M114">
        <v>2020</v>
      </c>
      <c r="N114">
        <v>10718.4</v>
      </c>
    </row>
    <row r="115" spans="2:14" x14ac:dyDescent="0.25">
      <c r="B115" s="5">
        <v>44229</v>
      </c>
      <c r="C115" t="s">
        <v>26</v>
      </c>
      <c r="D115" t="s">
        <v>46</v>
      </c>
      <c r="E115" t="s">
        <v>14</v>
      </c>
      <c r="F115">
        <v>898</v>
      </c>
      <c r="G115" s="6">
        <v>898</v>
      </c>
      <c r="H115">
        <v>58</v>
      </c>
      <c r="I115">
        <v>11.5</v>
      </c>
      <c r="J115" t="s">
        <v>43</v>
      </c>
      <c r="K115" s="17">
        <v>12.18</v>
      </c>
      <c r="L115" t="s">
        <v>15</v>
      </c>
      <c r="M115">
        <v>2020</v>
      </c>
      <c r="N115">
        <v>10937.64</v>
      </c>
    </row>
    <row r="116" spans="2:14" x14ac:dyDescent="0.25">
      <c r="B116" s="5">
        <v>44229</v>
      </c>
      <c r="C116" t="s">
        <v>26</v>
      </c>
      <c r="D116" t="s">
        <v>46</v>
      </c>
      <c r="E116" t="s">
        <v>14</v>
      </c>
      <c r="F116">
        <v>852</v>
      </c>
      <c r="G116" s="6">
        <v>722</v>
      </c>
      <c r="H116">
        <v>58.2</v>
      </c>
      <c r="I116">
        <v>13</v>
      </c>
      <c r="J116" t="s">
        <v>43</v>
      </c>
      <c r="K116" s="17">
        <v>12.18</v>
      </c>
      <c r="L116" t="s">
        <v>15</v>
      </c>
      <c r="M116">
        <v>2020</v>
      </c>
      <c r="N116">
        <v>8793.9599999999991</v>
      </c>
    </row>
    <row r="117" spans="2:14" x14ac:dyDescent="0.25">
      <c r="B117" s="5">
        <v>44229</v>
      </c>
      <c r="C117" t="s">
        <v>26</v>
      </c>
      <c r="G117" s="6">
        <v>130</v>
      </c>
      <c r="J117" t="s">
        <v>43</v>
      </c>
      <c r="K117" s="17">
        <v>14.02</v>
      </c>
      <c r="L117" t="s">
        <v>15</v>
      </c>
      <c r="M117">
        <v>2020</v>
      </c>
      <c r="N117">
        <v>1822.6</v>
      </c>
    </row>
    <row r="118" spans="2:14" x14ac:dyDescent="0.25">
      <c r="B118" s="5">
        <v>44230</v>
      </c>
      <c r="C118" t="s">
        <v>26</v>
      </c>
      <c r="D118" t="s">
        <v>46</v>
      </c>
      <c r="E118" t="s">
        <v>14</v>
      </c>
      <c r="F118">
        <v>789</v>
      </c>
      <c r="G118" s="6">
        <v>789</v>
      </c>
      <c r="H118">
        <v>57</v>
      </c>
      <c r="I118">
        <v>11.5</v>
      </c>
      <c r="J118" t="s">
        <v>43</v>
      </c>
      <c r="K118" s="17">
        <v>14.02</v>
      </c>
      <c r="L118" t="s">
        <v>15</v>
      </c>
      <c r="M118">
        <v>2020</v>
      </c>
      <c r="N118">
        <v>11061.779999999999</v>
      </c>
    </row>
    <row r="119" spans="2:14" x14ac:dyDescent="0.25">
      <c r="B119" s="5">
        <v>44230</v>
      </c>
      <c r="C119" t="s">
        <v>26</v>
      </c>
      <c r="D119" t="s">
        <v>46</v>
      </c>
      <c r="E119" t="s">
        <v>14</v>
      </c>
      <c r="F119">
        <v>853.33299999999997</v>
      </c>
      <c r="G119" s="6">
        <v>81</v>
      </c>
      <c r="H119">
        <v>57.3</v>
      </c>
      <c r="I119">
        <v>11.5</v>
      </c>
      <c r="J119" t="s">
        <v>43</v>
      </c>
      <c r="K119" s="17">
        <v>14.02</v>
      </c>
      <c r="L119" t="s">
        <v>15</v>
      </c>
      <c r="M119">
        <v>2020</v>
      </c>
      <c r="N119">
        <v>1135.6199999999999</v>
      </c>
    </row>
    <row r="120" spans="2:14" x14ac:dyDescent="0.25">
      <c r="B120" s="5">
        <v>44230</v>
      </c>
      <c r="C120" t="s">
        <v>26</v>
      </c>
      <c r="G120" s="6">
        <v>772.33299999999997</v>
      </c>
      <c r="J120" t="s">
        <v>43</v>
      </c>
      <c r="K120" s="17">
        <v>13.92</v>
      </c>
      <c r="L120" t="s">
        <v>15</v>
      </c>
      <c r="M120">
        <v>2020</v>
      </c>
      <c r="N120">
        <v>10750.87536</v>
      </c>
    </row>
    <row r="121" spans="2:14" x14ac:dyDescent="0.25">
      <c r="B121" s="5">
        <v>44230</v>
      </c>
      <c r="C121" t="s">
        <v>26</v>
      </c>
      <c r="D121" t="s">
        <v>46</v>
      </c>
      <c r="E121" t="s">
        <v>14</v>
      </c>
      <c r="F121">
        <v>838.33299999999997</v>
      </c>
      <c r="G121" s="6">
        <v>727.66700000000003</v>
      </c>
      <c r="H121">
        <v>56.9</v>
      </c>
      <c r="I121">
        <v>11.7</v>
      </c>
      <c r="J121" t="s">
        <v>43</v>
      </c>
      <c r="K121" s="17">
        <v>13.92</v>
      </c>
      <c r="L121" t="s">
        <v>15</v>
      </c>
      <c r="M121">
        <v>2020</v>
      </c>
      <c r="N121">
        <v>10129.12464</v>
      </c>
    </row>
    <row r="122" spans="2:14" x14ac:dyDescent="0.25">
      <c r="B122" s="5">
        <v>44230</v>
      </c>
      <c r="C122" t="s">
        <v>26</v>
      </c>
      <c r="G122" s="6">
        <v>110.666</v>
      </c>
      <c r="J122" t="s">
        <v>43</v>
      </c>
      <c r="K122" s="17">
        <v>13.93</v>
      </c>
      <c r="L122" t="s">
        <v>15</v>
      </c>
      <c r="M122">
        <v>2020</v>
      </c>
      <c r="N122">
        <v>1541.5773799999999</v>
      </c>
    </row>
    <row r="123" spans="2:14" x14ac:dyDescent="0.25">
      <c r="B123" s="5">
        <v>44230</v>
      </c>
      <c r="C123" t="s">
        <v>26</v>
      </c>
      <c r="D123" t="s">
        <v>46</v>
      </c>
      <c r="E123" t="s">
        <v>14</v>
      </c>
      <c r="F123">
        <v>620.33299999999997</v>
      </c>
      <c r="G123" s="6">
        <v>620.33299999999997</v>
      </c>
      <c r="H123">
        <v>57.1</v>
      </c>
      <c r="I123">
        <v>11.9</v>
      </c>
      <c r="J123" t="s">
        <v>43</v>
      </c>
      <c r="K123" s="17">
        <v>13.93</v>
      </c>
      <c r="L123" t="s">
        <v>15</v>
      </c>
      <c r="M123">
        <v>2020</v>
      </c>
      <c r="N123">
        <v>8641.2386900000001</v>
      </c>
    </row>
    <row r="124" spans="2:14" x14ac:dyDescent="0.25">
      <c r="B124" s="5">
        <v>44167</v>
      </c>
      <c r="C124" t="s">
        <v>25</v>
      </c>
      <c r="D124" t="s">
        <v>39</v>
      </c>
      <c r="E124" t="s">
        <v>14</v>
      </c>
      <c r="F124">
        <v>929.33299999999997</v>
      </c>
      <c r="G124" s="6">
        <v>915.39300000000003</v>
      </c>
      <c r="H124">
        <v>56</v>
      </c>
      <c r="I124">
        <v>13.5</v>
      </c>
      <c r="J124" t="s">
        <v>43</v>
      </c>
      <c r="K124" s="17">
        <v>9.82</v>
      </c>
      <c r="L124" t="s">
        <v>15</v>
      </c>
      <c r="M124">
        <v>2020</v>
      </c>
      <c r="N124">
        <v>8989.1592600000004</v>
      </c>
    </row>
    <row r="125" spans="2:14" x14ac:dyDescent="0.25">
      <c r="B125" s="5">
        <v>44176</v>
      </c>
      <c r="C125" t="s">
        <v>25</v>
      </c>
      <c r="D125" t="s">
        <v>39</v>
      </c>
      <c r="E125" t="s">
        <v>14</v>
      </c>
      <c r="F125">
        <v>933.66700000000003</v>
      </c>
      <c r="G125" s="6">
        <v>890.85699999999997</v>
      </c>
      <c r="H125">
        <v>56</v>
      </c>
      <c r="I125">
        <v>13.3</v>
      </c>
      <c r="J125" t="s">
        <v>43</v>
      </c>
      <c r="K125" s="17">
        <v>10.039999999999999</v>
      </c>
      <c r="L125" t="s">
        <v>15</v>
      </c>
      <c r="M125">
        <v>2020</v>
      </c>
      <c r="N125">
        <v>8944.2042799999981</v>
      </c>
    </row>
    <row r="126" spans="2:14" x14ac:dyDescent="0.25">
      <c r="B126" s="5">
        <v>44176</v>
      </c>
      <c r="C126" t="s">
        <v>25</v>
      </c>
      <c r="G126" s="6">
        <v>28.805</v>
      </c>
      <c r="J126" t="s">
        <v>43</v>
      </c>
      <c r="K126" s="17">
        <v>9.82</v>
      </c>
      <c r="L126" t="s">
        <v>15</v>
      </c>
      <c r="M126">
        <v>2020</v>
      </c>
      <c r="N126">
        <v>282.86509999999998</v>
      </c>
    </row>
    <row r="127" spans="2:14" x14ac:dyDescent="0.25">
      <c r="B127" s="5">
        <v>44217</v>
      </c>
      <c r="C127" t="s">
        <v>25</v>
      </c>
      <c r="D127" t="s">
        <v>39</v>
      </c>
      <c r="E127" t="s">
        <v>14</v>
      </c>
      <c r="F127">
        <v>879.33299999999997</v>
      </c>
      <c r="G127" s="6">
        <v>879.33299999999997</v>
      </c>
      <c r="H127">
        <v>56.5</v>
      </c>
      <c r="I127">
        <v>13</v>
      </c>
      <c r="J127" t="s">
        <v>43</v>
      </c>
      <c r="K127" s="17">
        <v>10.97</v>
      </c>
      <c r="L127" t="s">
        <v>15</v>
      </c>
      <c r="M127">
        <v>2020</v>
      </c>
      <c r="N127">
        <v>9646.283010000001</v>
      </c>
    </row>
    <row r="128" spans="2:14" x14ac:dyDescent="0.25">
      <c r="B128" s="5">
        <v>44217</v>
      </c>
      <c r="C128" t="s">
        <v>25</v>
      </c>
      <c r="D128" t="s">
        <v>39</v>
      </c>
      <c r="E128" t="s">
        <v>14</v>
      </c>
      <c r="F128">
        <v>866</v>
      </c>
      <c r="G128" s="6">
        <v>866</v>
      </c>
      <c r="H128">
        <v>56.5</v>
      </c>
      <c r="I128">
        <v>13</v>
      </c>
      <c r="J128" t="s">
        <v>43</v>
      </c>
      <c r="K128" s="17">
        <v>10.97</v>
      </c>
      <c r="L128" t="s">
        <v>15</v>
      </c>
      <c r="M128">
        <v>2020</v>
      </c>
      <c r="N128">
        <v>9500.02</v>
      </c>
    </row>
    <row r="129" spans="2:14" x14ac:dyDescent="0.25">
      <c r="B129" s="5">
        <v>44217</v>
      </c>
      <c r="C129" t="s">
        <v>25</v>
      </c>
      <c r="D129" t="s">
        <v>39</v>
      </c>
      <c r="E129" t="s">
        <v>14</v>
      </c>
      <c r="F129">
        <v>838</v>
      </c>
      <c r="G129" s="6">
        <v>838</v>
      </c>
      <c r="H129">
        <v>55.7</v>
      </c>
      <c r="I129">
        <v>12.7</v>
      </c>
      <c r="J129" t="s">
        <v>43</v>
      </c>
      <c r="K129" s="17">
        <v>10.97</v>
      </c>
      <c r="L129" t="s">
        <v>15</v>
      </c>
      <c r="M129">
        <v>2020</v>
      </c>
      <c r="N129">
        <v>9192.86</v>
      </c>
    </row>
    <row r="130" spans="2:14" x14ac:dyDescent="0.25">
      <c r="B130" s="5">
        <v>44218</v>
      </c>
      <c r="C130" t="s">
        <v>25</v>
      </c>
      <c r="D130" t="s">
        <v>39</v>
      </c>
      <c r="E130" t="s">
        <v>14</v>
      </c>
      <c r="F130">
        <v>873.66700000000003</v>
      </c>
      <c r="G130" s="6">
        <v>873.66700000000003</v>
      </c>
      <c r="H130">
        <v>55.6</v>
      </c>
      <c r="I130">
        <v>12</v>
      </c>
      <c r="J130" t="s">
        <v>43</v>
      </c>
      <c r="K130" s="17">
        <v>10.97</v>
      </c>
      <c r="L130" t="s">
        <v>15</v>
      </c>
      <c r="M130">
        <v>2020</v>
      </c>
      <c r="N130">
        <v>9584.1269900000007</v>
      </c>
    </row>
    <row r="131" spans="2:14" x14ac:dyDescent="0.25">
      <c r="B131" s="5">
        <v>44218</v>
      </c>
      <c r="C131" t="s">
        <v>25</v>
      </c>
      <c r="D131" t="s">
        <v>39</v>
      </c>
      <c r="E131" t="s">
        <v>14</v>
      </c>
      <c r="F131">
        <v>847.66700000000003</v>
      </c>
      <c r="G131" s="6">
        <v>847.66700000000003</v>
      </c>
      <c r="H131">
        <v>56.4</v>
      </c>
      <c r="I131">
        <v>12.3</v>
      </c>
      <c r="J131" t="s">
        <v>43</v>
      </c>
      <c r="K131" s="17">
        <v>10.97</v>
      </c>
      <c r="L131" t="s">
        <v>15</v>
      </c>
      <c r="M131">
        <v>2020</v>
      </c>
      <c r="N131">
        <v>9298.9069900000013</v>
      </c>
    </row>
    <row r="132" spans="2:14" x14ac:dyDescent="0.25">
      <c r="B132" s="5">
        <v>44218</v>
      </c>
      <c r="C132" t="s">
        <v>25</v>
      </c>
      <c r="D132" t="s">
        <v>39</v>
      </c>
      <c r="E132" t="s">
        <v>14</v>
      </c>
      <c r="F132">
        <v>359.66699999999997</v>
      </c>
      <c r="G132" s="6">
        <v>359.66699999999997</v>
      </c>
      <c r="H132">
        <v>56.6</v>
      </c>
      <c r="I132">
        <v>12.2</v>
      </c>
      <c r="J132" t="s">
        <v>43</v>
      </c>
      <c r="K132" s="17">
        <v>10.97</v>
      </c>
      <c r="L132" t="s">
        <v>15</v>
      </c>
      <c r="M132">
        <v>2020</v>
      </c>
      <c r="N132">
        <v>3945.5469899999998</v>
      </c>
    </row>
    <row r="133" spans="2:14" x14ac:dyDescent="0.25">
      <c r="B133" s="5">
        <v>44109</v>
      </c>
      <c r="C133" t="s">
        <v>21</v>
      </c>
      <c r="D133" t="s">
        <v>46</v>
      </c>
      <c r="E133" t="s">
        <v>14</v>
      </c>
      <c r="F133">
        <v>895.66700000000003</v>
      </c>
      <c r="G133" s="6">
        <v>882.23199999999997</v>
      </c>
      <c r="H133">
        <v>55.6</v>
      </c>
      <c r="I133">
        <v>13.5</v>
      </c>
      <c r="J133" t="s">
        <v>43</v>
      </c>
      <c r="K133" s="17">
        <v>10.3</v>
      </c>
      <c r="L133" t="s">
        <v>15</v>
      </c>
      <c r="M133">
        <v>2020</v>
      </c>
      <c r="N133">
        <v>9086.9896000000008</v>
      </c>
    </row>
    <row r="134" spans="2:14" x14ac:dyDescent="0.25">
      <c r="B134" s="5">
        <v>44110</v>
      </c>
      <c r="C134" t="s">
        <v>21</v>
      </c>
      <c r="D134" t="s">
        <v>46</v>
      </c>
      <c r="E134" t="s">
        <v>14</v>
      </c>
      <c r="F134">
        <v>831.33299999999997</v>
      </c>
      <c r="G134" s="6">
        <v>831.33299999999997</v>
      </c>
      <c r="H134">
        <v>55.2</v>
      </c>
      <c r="I134">
        <v>13</v>
      </c>
      <c r="J134" t="s">
        <v>43</v>
      </c>
      <c r="K134" s="17">
        <v>10.54</v>
      </c>
      <c r="L134" t="s">
        <v>15</v>
      </c>
      <c r="M134">
        <v>2020</v>
      </c>
      <c r="N134">
        <v>8762.2498199999991</v>
      </c>
    </row>
    <row r="135" spans="2:14" x14ac:dyDescent="0.25">
      <c r="B135" s="5">
        <v>44111</v>
      </c>
      <c r="C135" t="s">
        <v>21</v>
      </c>
      <c r="D135" t="s">
        <v>46</v>
      </c>
      <c r="E135" t="s">
        <v>14</v>
      </c>
      <c r="F135">
        <v>920.66700000000003</v>
      </c>
      <c r="G135" s="6">
        <v>920.66700000000003</v>
      </c>
      <c r="H135">
        <v>55.4</v>
      </c>
      <c r="I135">
        <v>12.9</v>
      </c>
      <c r="J135" t="s">
        <v>43</v>
      </c>
      <c r="K135" s="17">
        <v>10.61</v>
      </c>
      <c r="L135" t="s">
        <v>15</v>
      </c>
      <c r="M135">
        <v>2020</v>
      </c>
      <c r="N135">
        <v>9768.2768699999997</v>
      </c>
    </row>
    <row r="136" spans="2:14" x14ac:dyDescent="0.25">
      <c r="B136" s="5">
        <v>44112</v>
      </c>
      <c r="C136" t="s">
        <v>21</v>
      </c>
      <c r="D136" t="s">
        <v>46</v>
      </c>
      <c r="E136" t="s">
        <v>14</v>
      </c>
      <c r="F136">
        <v>909.33299999999997</v>
      </c>
      <c r="G136" s="6">
        <v>909.33299999999997</v>
      </c>
      <c r="H136">
        <v>55.4</v>
      </c>
      <c r="I136">
        <v>10.9</v>
      </c>
      <c r="J136" t="s">
        <v>43</v>
      </c>
      <c r="K136" s="17">
        <v>10.62</v>
      </c>
      <c r="L136" t="s">
        <v>15</v>
      </c>
      <c r="M136">
        <v>2020</v>
      </c>
      <c r="N136">
        <v>9657.1164599999993</v>
      </c>
    </row>
    <row r="137" spans="2:14" x14ac:dyDescent="0.25">
      <c r="B137" s="5">
        <v>44113</v>
      </c>
      <c r="C137" t="s">
        <v>21</v>
      </c>
      <c r="D137" t="s">
        <v>46</v>
      </c>
      <c r="E137" t="s">
        <v>14</v>
      </c>
      <c r="F137">
        <v>920.66700000000003</v>
      </c>
      <c r="G137" s="6">
        <v>920.66700000000003</v>
      </c>
      <c r="H137">
        <v>54.8</v>
      </c>
      <c r="I137">
        <v>11.8</v>
      </c>
      <c r="J137" t="s">
        <v>43</v>
      </c>
      <c r="K137" s="17">
        <v>10.75</v>
      </c>
      <c r="L137" t="s">
        <v>15</v>
      </c>
      <c r="M137">
        <v>2020</v>
      </c>
      <c r="N137">
        <v>9897.170250000001</v>
      </c>
    </row>
    <row r="138" spans="2:14" x14ac:dyDescent="0.25">
      <c r="B138" s="5">
        <v>44113</v>
      </c>
      <c r="C138" t="s">
        <v>21</v>
      </c>
      <c r="D138" t="s">
        <v>46</v>
      </c>
      <c r="E138" t="s">
        <v>14</v>
      </c>
      <c r="F138">
        <v>931.33299999999997</v>
      </c>
      <c r="G138" s="6">
        <v>931.33299999999997</v>
      </c>
      <c r="H138">
        <v>56</v>
      </c>
      <c r="I138">
        <v>13.2</v>
      </c>
      <c r="J138" t="s">
        <v>43</v>
      </c>
      <c r="K138" s="17">
        <v>10.75</v>
      </c>
      <c r="L138" t="s">
        <v>15</v>
      </c>
      <c r="M138">
        <v>2020</v>
      </c>
      <c r="N138">
        <v>10011.829749999999</v>
      </c>
    </row>
    <row r="139" spans="2:14" x14ac:dyDescent="0.25">
      <c r="B139" s="5">
        <v>44167</v>
      </c>
      <c r="C139" t="s">
        <v>21</v>
      </c>
      <c r="D139" t="s">
        <v>46</v>
      </c>
      <c r="E139" t="s">
        <v>14</v>
      </c>
      <c r="F139">
        <v>939.33299999999997</v>
      </c>
      <c r="G139" s="6">
        <v>624.101</v>
      </c>
      <c r="H139">
        <v>54.5</v>
      </c>
      <c r="I139">
        <v>13.4</v>
      </c>
      <c r="J139" t="s">
        <v>43</v>
      </c>
      <c r="K139" s="17">
        <v>9.82</v>
      </c>
      <c r="L139" t="s">
        <v>15</v>
      </c>
      <c r="M139">
        <v>2020</v>
      </c>
      <c r="N139">
        <v>6128.6718200000005</v>
      </c>
    </row>
    <row r="140" spans="2:14" x14ac:dyDescent="0.25">
      <c r="B140" s="5">
        <v>44167</v>
      </c>
      <c r="C140" t="s">
        <v>21</v>
      </c>
      <c r="G140" s="6">
        <v>301.142</v>
      </c>
      <c r="H140">
        <v>54.5</v>
      </c>
      <c r="I140">
        <v>13.4</v>
      </c>
      <c r="J140" t="s">
        <v>43</v>
      </c>
      <c r="K140" s="17">
        <v>9.3000000000000007</v>
      </c>
      <c r="L140" t="s">
        <v>15</v>
      </c>
      <c r="M140">
        <v>2020</v>
      </c>
      <c r="N140">
        <v>2800.6206000000002</v>
      </c>
    </row>
    <row r="141" spans="2:14" x14ac:dyDescent="0.25">
      <c r="B141" s="5">
        <v>44181</v>
      </c>
      <c r="C141" t="s">
        <v>21</v>
      </c>
      <c r="D141" t="s">
        <v>46</v>
      </c>
      <c r="E141" t="s">
        <v>14</v>
      </c>
      <c r="F141">
        <v>909</v>
      </c>
      <c r="G141" s="6">
        <v>881.495</v>
      </c>
      <c r="H141">
        <v>53.4</v>
      </c>
      <c r="I141">
        <v>13</v>
      </c>
      <c r="J141" t="s">
        <v>43</v>
      </c>
      <c r="K141" s="17">
        <v>9.5150000000000006</v>
      </c>
      <c r="L141" t="s">
        <v>15</v>
      </c>
      <c r="M141">
        <v>2020</v>
      </c>
      <c r="N141">
        <v>8387.4249250000012</v>
      </c>
    </row>
    <row r="142" spans="2:14" x14ac:dyDescent="0.25">
      <c r="B142" s="5">
        <v>46007</v>
      </c>
      <c r="C142" t="s">
        <v>21</v>
      </c>
      <c r="G142" s="6">
        <v>27.504999999999999</v>
      </c>
      <c r="J142" t="s">
        <v>43</v>
      </c>
      <c r="K142" s="17">
        <v>11</v>
      </c>
      <c r="L142" t="s">
        <v>15</v>
      </c>
      <c r="M142">
        <v>2020</v>
      </c>
      <c r="N142">
        <v>302.55500000000001</v>
      </c>
    </row>
    <row r="143" spans="2:14" x14ac:dyDescent="0.25">
      <c r="B143" s="5">
        <v>20</v>
      </c>
      <c r="C143" t="s">
        <v>21</v>
      </c>
      <c r="D143" t="s">
        <v>46</v>
      </c>
      <c r="E143" t="s">
        <v>14</v>
      </c>
      <c r="F143">
        <v>912.66700000000003</v>
      </c>
      <c r="G143" s="6">
        <v>912.66700000000003</v>
      </c>
      <c r="H143">
        <v>55</v>
      </c>
      <c r="I143">
        <v>13</v>
      </c>
      <c r="J143" t="s">
        <v>43</v>
      </c>
      <c r="K143" s="17">
        <v>9.5150000000000006</v>
      </c>
      <c r="L143" t="s">
        <v>15</v>
      </c>
      <c r="M143">
        <v>2020</v>
      </c>
      <c r="N143">
        <v>8684.0265050000016</v>
      </c>
    </row>
    <row r="144" spans="2:14" x14ac:dyDescent="0.25">
      <c r="B144" s="5">
        <v>44181</v>
      </c>
      <c r="C144" t="s">
        <v>21</v>
      </c>
      <c r="D144" t="s">
        <v>46</v>
      </c>
      <c r="E144" t="s">
        <v>14</v>
      </c>
      <c r="F144">
        <v>900.33299999999997</v>
      </c>
      <c r="G144" s="6">
        <v>900.33299999999997</v>
      </c>
      <c r="H144">
        <v>55.3</v>
      </c>
      <c r="I144">
        <v>11.8</v>
      </c>
      <c r="J144" t="s">
        <v>43</v>
      </c>
      <c r="K144" s="17">
        <v>9.5150000000000006</v>
      </c>
      <c r="L144" t="s">
        <v>15</v>
      </c>
      <c r="M144">
        <v>2020</v>
      </c>
      <c r="N144">
        <v>8566.6684949999999</v>
      </c>
    </row>
    <row r="145" spans="2:14" x14ac:dyDescent="0.25">
      <c r="B145" s="5">
        <v>44181</v>
      </c>
      <c r="C145" t="s">
        <v>21</v>
      </c>
      <c r="D145" t="s">
        <v>46</v>
      </c>
      <c r="E145" t="s">
        <v>14</v>
      </c>
      <c r="F145">
        <v>929</v>
      </c>
      <c r="G145" s="6">
        <v>847.69899999999996</v>
      </c>
      <c r="H145">
        <v>56.1</v>
      </c>
      <c r="I145">
        <v>12.4</v>
      </c>
      <c r="J145" t="s">
        <v>43</v>
      </c>
      <c r="K145" s="17">
        <v>9.5150000000000006</v>
      </c>
      <c r="L145" t="s">
        <v>15</v>
      </c>
      <c r="M145">
        <v>2020</v>
      </c>
      <c r="N145">
        <v>8065.8559850000001</v>
      </c>
    </row>
    <row r="146" spans="2:14" x14ac:dyDescent="0.25">
      <c r="B146" s="5">
        <v>44181</v>
      </c>
      <c r="C146" t="s">
        <v>21</v>
      </c>
      <c r="G146" s="6">
        <v>81.301000000000002</v>
      </c>
      <c r="J146" t="s">
        <v>43</v>
      </c>
      <c r="K146" s="17">
        <v>11</v>
      </c>
      <c r="L146" t="s">
        <v>15</v>
      </c>
      <c r="M146">
        <v>2020</v>
      </c>
      <c r="N146">
        <v>894.31100000000004</v>
      </c>
    </row>
    <row r="147" spans="2:14" x14ac:dyDescent="0.25">
      <c r="B147" s="5">
        <v>44182</v>
      </c>
      <c r="C147" t="s">
        <v>21</v>
      </c>
      <c r="D147" t="s">
        <v>46</v>
      </c>
      <c r="E147" t="s">
        <v>14</v>
      </c>
      <c r="F147">
        <v>930.66700000000003</v>
      </c>
      <c r="G147" s="6">
        <v>847.69899999999996</v>
      </c>
      <c r="H147">
        <v>55.3</v>
      </c>
      <c r="I147">
        <v>11.2</v>
      </c>
      <c r="J147" t="s">
        <v>43</v>
      </c>
      <c r="K147" s="17">
        <v>9.5150000000000006</v>
      </c>
      <c r="L147" t="s">
        <v>15</v>
      </c>
      <c r="M147">
        <v>2020</v>
      </c>
      <c r="N147">
        <v>8065.8559850000001</v>
      </c>
    </row>
    <row r="148" spans="2:14" x14ac:dyDescent="0.25">
      <c r="B148" s="5">
        <v>44182</v>
      </c>
      <c r="C148" t="s">
        <v>21</v>
      </c>
      <c r="G148" s="6">
        <v>81.301000000000002</v>
      </c>
      <c r="J148" t="s">
        <v>43</v>
      </c>
      <c r="K148" s="17">
        <v>11</v>
      </c>
      <c r="L148" t="s">
        <v>15</v>
      </c>
      <c r="M148">
        <v>2020</v>
      </c>
      <c r="N148">
        <v>894.31100000000004</v>
      </c>
    </row>
    <row r="149" spans="2:14" x14ac:dyDescent="0.25">
      <c r="B149" s="5">
        <v>44201</v>
      </c>
      <c r="C149" t="s">
        <v>21</v>
      </c>
      <c r="D149" t="s">
        <v>46</v>
      </c>
      <c r="E149" t="s">
        <v>14</v>
      </c>
      <c r="F149">
        <v>838.66700000000003</v>
      </c>
      <c r="G149" s="6">
        <v>838.66700000000003</v>
      </c>
      <c r="H149">
        <v>55.5</v>
      </c>
      <c r="I149">
        <v>11.3</v>
      </c>
      <c r="J149" t="s">
        <v>43</v>
      </c>
      <c r="K149" s="17">
        <v>9.17</v>
      </c>
      <c r="L149" t="s">
        <v>15</v>
      </c>
      <c r="M149">
        <v>2020</v>
      </c>
      <c r="N149">
        <v>7690.5763900000002</v>
      </c>
    </row>
    <row r="150" spans="2:14" x14ac:dyDescent="0.25">
      <c r="B150" s="5">
        <v>44201</v>
      </c>
      <c r="C150" t="s">
        <v>21</v>
      </c>
      <c r="D150" t="s">
        <v>46</v>
      </c>
      <c r="E150" t="s">
        <v>14</v>
      </c>
      <c r="F150">
        <v>841</v>
      </c>
      <c r="G150" s="6">
        <v>841</v>
      </c>
      <c r="H150">
        <v>55.9</v>
      </c>
      <c r="I150">
        <v>11.4</v>
      </c>
      <c r="J150" t="s">
        <v>43</v>
      </c>
      <c r="K150" s="17">
        <v>9.17</v>
      </c>
      <c r="L150" t="s">
        <v>15</v>
      </c>
      <c r="M150">
        <v>2020</v>
      </c>
      <c r="N150">
        <v>7711.97</v>
      </c>
    </row>
    <row r="151" spans="2:14" x14ac:dyDescent="0.25">
      <c r="B151" s="5">
        <v>44202</v>
      </c>
      <c r="C151" t="s">
        <v>21</v>
      </c>
      <c r="D151" t="s">
        <v>46</v>
      </c>
      <c r="E151" t="s">
        <v>14</v>
      </c>
      <c r="F151">
        <v>840</v>
      </c>
      <c r="G151" s="6">
        <v>840</v>
      </c>
      <c r="H151">
        <v>55.7</v>
      </c>
      <c r="I151">
        <v>11.3</v>
      </c>
      <c r="J151" t="s">
        <v>43</v>
      </c>
      <c r="K151" s="17">
        <v>9.17</v>
      </c>
      <c r="L151" t="s">
        <v>15</v>
      </c>
      <c r="M151">
        <v>2020</v>
      </c>
      <c r="N151">
        <v>7702.8</v>
      </c>
    </row>
    <row r="152" spans="2:14" x14ac:dyDescent="0.25">
      <c r="B152" s="5">
        <v>44202</v>
      </c>
      <c r="C152" t="s">
        <v>21</v>
      </c>
      <c r="D152" t="s">
        <v>46</v>
      </c>
      <c r="E152" t="s">
        <v>14</v>
      </c>
      <c r="F152">
        <v>855.66700000000003</v>
      </c>
      <c r="G152" s="6">
        <v>855.66700000000003</v>
      </c>
      <c r="H152">
        <v>55.5</v>
      </c>
      <c r="I152">
        <v>11.7</v>
      </c>
      <c r="J152" t="s">
        <v>43</v>
      </c>
      <c r="K152" s="17">
        <v>9.17</v>
      </c>
      <c r="L152" t="s">
        <v>15</v>
      </c>
      <c r="M152">
        <v>2020</v>
      </c>
      <c r="N152">
        <v>7846.4663900000005</v>
      </c>
    </row>
    <row r="153" spans="2:14" x14ac:dyDescent="0.25">
      <c r="B153" s="5">
        <v>44208</v>
      </c>
      <c r="C153" t="s">
        <v>21</v>
      </c>
      <c r="D153" t="s">
        <v>46</v>
      </c>
      <c r="E153" t="s">
        <v>14</v>
      </c>
      <c r="F153">
        <v>819.66700000000003</v>
      </c>
      <c r="G153" s="6">
        <v>819.66700000000003</v>
      </c>
      <c r="H153">
        <v>56</v>
      </c>
      <c r="I153">
        <v>11.7</v>
      </c>
      <c r="J153" t="s">
        <v>43</v>
      </c>
      <c r="K153" s="17">
        <v>10.59</v>
      </c>
      <c r="L153" t="s">
        <v>15</v>
      </c>
      <c r="M153">
        <v>2020</v>
      </c>
      <c r="N153">
        <v>8680.2735300000004</v>
      </c>
    </row>
    <row r="154" spans="2:14" x14ac:dyDescent="0.25">
      <c r="B154" s="5">
        <v>44208</v>
      </c>
      <c r="C154" t="s">
        <v>21</v>
      </c>
      <c r="D154" t="s">
        <v>46</v>
      </c>
      <c r="E154" t="s">
        <v>14</v>
      </c>
      <c r="F154">
        <v>862</v>
      </c>
      <c r="G154" s="6">
        <v>862</v>
      </c>
      <c r="H154">
        <v>56.2</v>
      </c>
      <c r="I154">
        <v>11.9</v>
      </c>
      <c r="J154" t="s">
        <v>43</v>
      </c>
      <c r="K154" s="17">
        <v>10.59</v>
      </c>
      <c r="L154" t="s">
        <v>15</v>
      </c>
      <c r="M154">
        <v>2020</v>
      </c>
      <c r="N154">
        <v>9128.58</v>
      </c>
    </row>
    <row r="155" spans="2:14" x14ac:dyDescent="0.25">
      <c r="B155" s="5">
        <v>44210</v>
      </c>
      <c r="C155" t="s">
        <v>21</v>
      </c>
      <c r="D155" t="s">
        <v>46</v>
      </c>
      <c r="E155" t="s">
        <v>14</v>
      </c>
      <c r="F155">
        <v>848.33299999999997</v>
      </c>
      <c r="G155" s="6">
        <v>848.33299999999997</v>
      </c>
      <c r="H155">
        <v>54.8</v>
      </c>
      <c r="I155">
        <v>12</v>
      </c>
      <c r="J155" t="s">
        <v>43</v>
      </c>
      <c r="K155" s="17">
        <v>10.59</v>
      </c>
      <c r="L155" t="s">
        <v>15</v>
      </c>
      <c r="M155">
        <v>2020</v>
      </c>
      <c r="N155">
        <v>8983.8464700000004</v>
      </c>
    </row>
    <row r="156" spans="2:14" x14ac:dyDescent="0.25">
      <c r="B156" s="5">
        <v>44211</v>
      </c>
      <c r="C156" t="s">
        <v>21</v>
      </c>
      <c r="D156" t="s">
        <v>46</v>
      </c>
      <c r="E156" t="s">
        <v>14</v>
      </c>
      <c r="F156">
        <v>826.33299999999997</v>
      </c>
      <c r="G156" s="6">
        <v>826.33299999999997</v>
      </c>
      <c r="H156">
        <v>55.1</v>
      </c>
      <c r="I156">
        <v>12.2</v>
      </c>
      <c r="J156" t="s">
        <v>43</v>
      </c>
      <c r="K156" s="17">
        <v>10.59</v>
      </c>
      <c r="L156" t="s">
        <v>15</v>
      </c>
      <c r="M156">
        <v>2020</v>
      </c>
      <c r="N156">
        <v>8750.866469999999</v>
      </c>
    </row>
    <row r="157" spans="2:14" x14ac:dyDescent="0.25">
      <c r="B157" s="5">
        <v>44211</v>
      </c>
      <c r="C157" t="s">
        <v>21</v>
      </c>
      <c r="D157" t="s">
        <v>46</v>
      </c>
      <c r="E157" t="s">
        <v>14</v>
      </c>
      <c r="F157">
        <v>831.66700000000003</v>
      </c>
      <c r="G157" s="6">
        <v>463.74</v>
      </c>
      <c r="H157">
        <v>55.2</v>
      </c>
      <c r="I157">
        <v>12.7</v>
      </c>
      <c r="J157" t="s">
        <v>43</v>
      </c>
      <c r="K157" s="17">
        <v>10.59</v>
      </c>
      <c r="L157" t="s">
        <v>15</v>
      </c>
      <c r="M157">
        <v>2020</v>
      </c>
      <c r="N157">
        <v>4911.0065999999997</v>
      </c>
    </row>
    <row r="158" spans="2:14" x14ac:dyDescent="0.25">
      <c r="B158" s="5">
        <v>44211</v>
      </c>
      <c r="C158" t="s">
        <v>21</v>
      </c>
      <c r="G158" s="6">
        <v>367.92700000000002</v>
      </c>
      <c r="J158" t="s">
        <v>43</v>
      </c>
      <c r="K158" s="17">
        <v>10.97</v>
      </c>
      <c r="L158" t="s">
        <v>15</v>
      </c>
      <c r="M158">
        <v>2020</v>
      </c>
      <c r="N158">
        <v>4036.1591900000003</v>
      </c>
    </row>
    <row r="159" spans="2:14" x14ac:dyDescent="0.25">
      <c r="B159" s="5">
        <v>44211</v>
      </c>
      <c r="C159" t="s">
        <v>21</v>
      </c>
      <c r="D159" t="s">
        <v>46</v>
      </c>
      <c r="E159" t="s">
        <v>14</v>
      </c>
      <c r="F159">
        <v>860.33299999999997</v>
      </c>
      <c r="G159" s="6">
        <v>860.33299999999997</v>
      </c>
      <c r="H159">
        <v>55.5</v>
      </c>
      <c r="I159">
        <v>12.7</v>
      </c>
      <c r="J159" t="s">
        <v>43</v>
      </c>
      <c r="K159" s="17">
        <v>10.97</v>
      </c>
      <c r="L159" t="s">
        <v>15</v>
      </c>
      <c r="M159">
        <v>2020</v>
      </c>
      <c r="N159">
        <v>9437.8530100000007</v>
      </c>
    </row>
    <row r="160" spans="2:14" x14ac:dyDescent="0.25">
      <c r="B160" s="5">
        <v>44222</v>
      </c>
      <c r="C160" t="s">
        <v>21</v>
      </c>
      <c r="D160" t="s">
        <v>46</v>
      </c>
      <c r="E160" t="s">
        <v>14</v>
      </c>
      <c r="F160">
        <v>891</v>
      </c>
      <c r="G160" s="6">
        <v>642.74</v>
      </c>
      <c r="H160">
        <v>55.1</v>
      </c>
      <c r="I160">
        <v>12.4</v>
      </c>
      <c r="J160" t="s">
        <v>43</v>
      </c>
      <c r="K160" s="17">
        <v>10.97</v>
      </c>
      <c r="L160" t="s">
        <v>15</v>
      </c>
      <c r="M160">
        <v>2020</v>
      </c>
      <c r="N160">
        <v>7050.8578000000007</v>
      </c>
    </row>
    <row r="161" spans="2:14" x14ac:dyDescent="0.25">
      <c r="B161" s="5">
        <v>44222</v>
      </c>
      <c r="C161" t="s">
        <v>21</v>
      </c>
      <c r="G161" s="6">
        <v>248.26</v>
      </c>
      <c r="J161" t="s">
        <v>43</v>
      </c>
      <c r="K161" s="17">
        <v>13.79</v>
      </c>
      <c r="L161" t="s">
        <v>15</v>
      </c>
      <c r="M161">
        <v>2020</v>
      </c>
      <c r="N161">
        <v>3423.5053999999996</v>
      </c>
    </row>
    <row r="162" spans="2:14" x14ac:dyDescent="0.25">
      <c r="B162" s="5">
        <v>44222</v>
      </c>
      <c r="C162" t="s">
        <v>21</v>
      </c>
      <c r="D162" t="s">
        <v>46</v>
      </c>
      <c r="E162" t="s">
        <v>14</v>
      </c>
      <c r="F162">
        <v>818.33299999999997</v>
      </c>
      <c r="G162" s="6">
        <v>818.33299999999997</v>
      </c>
      <c r="H162">
        <v>55.2</v>
      </c>
      <c r="I162">
        <v>12.3</v>
      </c>
      <c r="J162" t="s">
        <v>43</v>
      </c>
      <c r="K162" s="17">
        <v>13.79</v>
      </c>
      <c r="L162" t="s">
        <v>15</v>
      </c>
      <c r="M162">
        <v>2020</v>
      </c>
      <c r="N162">
        <v>11284.812069999998</v>
      </c>
    </row>
    <row r="163" spans="2:14" x14ac:dyDescent="0.25">
      <c r="B163" s="5">
        <v>44222</v>
      </c>
      <c r="C163" t="s">
        <v>21</v>
      </c>
      <c r="D163" t="s">
        <v>46</v>
      </c>
      <c r="E163" t="s">
        <v>14</v>
      </c>
      <c r="F163">
        <v>800.33299999999997</v>
      </c>
      <c r="G163" s="6">
        <v>800.33299999999997</v>
      </c>
      <c r="H163">
        <v>54.4</v>
      </c>
      <c r="I163">
        <v>12.5</v>
      </c>
      <c r="J163" t="s">
        <v>43</v>
      </c>
      <c r="K163" s="17">
        <v>13.79</v>
      </c>
      <c r="L163" t="s">
        <v>15</v>
      </c>
      <c r="M163">
        <v>2020</v>
      </c>
      <c r="N163">
        <v>11036.592069999999</v>
      </c>
    </row>
    <row r="164" spans="2:14" x14ac:dyDescent="0.25">
      <c r="B164" s="5">
        <v>44168</v>
      </c>
      <c r="C164" t="s">
        <v>23</v>
      </c>
      <c r="D164" t="s">
        <v>46</v>
      </c>
      <c r="E164" t="s">
        <v>14</v>
      </c>
      <c r="F164">
        <v>908.66700000000003</v>
      </c>
      <c r="G164" s="6">
        <v>908.66700000000003</v>
      </c>
      <c r="H164">
        <v>55.8</v>
      </c>
      <c r="I164">
        <v>12.9</v>
      </c>
      <c r="J164" t="s">
        <v>43</v>
      </c>
      <c r="K164" s="17">
        <v>9.3000000000000007</v>
      </c>
      <c r="L164" t="s">
        <v>15</v>
      </c>
      <c r="M164">
        <v>2020</v>
      </c>
      <c r="N164">
        <v>8450.6031000000003</v>
      </c>
    </row>
    <row r="165" spans="2:14" x14ac:dyDescent="0.25">
      <c r="B165" s="5">
        <v>44169</v>
      </c>
      <c r="C165" t="s">
        <v>23</v>
      </c>
      <c r="D165" t="s">
        <v>46</v>
      </c>
      <c r="E165" t="s">
        <v>14</v>
      </c>
      <c r="F165">
        <v>905</v>
      </c>
      <c r="G165" s="6">
        <v>905</v>
      </c>
      <c r="H165">
        <v>56.4</v>
      </c>
      <c r="I165">
        <v>12.5</v>
      </c>
      <c r="J165" t="s">
        <v>43</v>
      </c>
      <c r="K165" s="17">
        <v>9.3000000000000007</v>
      </c>
      <c r="L165" t="s">
        <v>15</v>
      </c>
      <c r="M165">
        <v>2020</v>
      </c>
      <c r="N165">
        <v>8416.5</v>
      </c>
    </row>
    <row r="166" spans="2:14" x14ac:dyDescent="0.25">
      <c r="B166" s="5">
        <v>44169</v>
      </c>
      <c r="C166" t="s">
        <v>23</v>
      </c>
      <c r="D166" t="s">
        <v>46</v>
      </c>
      <c r="E166" t="s">
        <v>14</v>
      </c>
      <c r="F166">
        <v>892.66700000000003</v>
      </c>
      <c r="G166" s="6">
        <v>892.66700000000003</v>
      </c>
      <c r="H166">
        <v>57.6</v>
      </c>
      <c r="I166">
        <v>12.7</v>
      </c>
      <c r="J166" t="s">
        <v>43</v>
      </c>
      <c r="K166" s="17">
        <v>9.3000000000000007</v>
      </c>
      <c r="L166" t="s">
        <v>15</v>
      </c>
      <c r="M166">
        <v>2020</v>
      </c>
      <c r="N166">
        <v>8301.803100000001</v>
      </c>
    </row>
    <row r="167" spans="2:14" x14ac:dyDescent="0.25">
      <c r="B167" s="5">
        <v>44169</v>
      </c>
      <c r="C167" t="s">
        <v>23</v>
      </c>
      <c r="D167" t="s">
        <v>46</v>
      </c>
      <c r="E167" t="s">
        <v>14</v>
      </c>
      <c r="F167">
        <v>924.33299999999997</v>
      </c>
      <c r="G167" s="6">
        <v>924.33299999999997</v>
      </c>
      <c r="H167">
        <v>56.5</v>
      </c>
      <c r="I167">
        <v>12.4</v>
      </c>
      <c r="J167" t="s">
        <v>43</v>
      </c>
      <c r="K167" s="17">
        <v>9.3000000000000007</v>
      </c>
      <c r="L167" t="s">
        <v>15</v>
      </c>
      <c r="M167">
        <v>2020</v>
      </c>
      <c r="N167">
        <v>8596.2969000000012</v>
      </c>
    </row>
    <row r="168" spans="2:14" x14ac:dyDescent="0.25">
      <c r="B168" s="5">
        <v>44172</v>
      </c>
      <c r="C168" t="s">
        <v>23</v>
      </c>
      <c r="D168" t="s">
        <v>46</v>
      </c>
      <c r="E168" t="s">
        <v>14</v>
      </c>
      <c r="F168">
        <v>941.33299999999997</v>
      </c>
      <c r="G168" s="6">
        <v>941.33299999999997</v>
      </c>
      <c r="H168">
        <v>56</v>
      </c>
      <c r="I168">
        <v>12.4</v>
      </c>
      <c r="J168" t="s">
        <v>43</v>
      </c>
      <c r="K168" s="17">
        <v>9.3000000000000007</v>
      </c>
      <c r="L168" t="s">
        <v>15</v>
      </c>
      <c r="M168">
        <v>2020</v>
      </c>
      <c r="N168">
        <v>8754.3968999999997</v>
      </c>
    </row>
    <row r="169" spans="2:14" x14ac:dyDescent="0.25">
      <c r="B169" s="5">
        <v>44172</v>
      </c>
      <c r="C169" t="s">
        <v>23</v>
      </c>
      <c r="D169" t="s">
        <v>46</v>
      </c>
      <c r="E169" t="s">
        <v>14</v>
      </c>
      <c r="F169">
        <v>947.66700000000003</v>
      </c>
      <c r="G169" s="6">
        <v>153.52500000000001</v>
      </c>
      <c r="H169">
        <v>56.4</v>
      </c>
      <c r="I169">
        <v>12</v>
      </c>
      <c r="J169" t="s">
        <v>43</v>
      </c>
      <c r="K169" s="17">
        <v>9.3000000000000007</v>
      </c>
      <c r="L169" t="s">
        <v>15</v>
      </c>
      <c r="M169">
        <v>2020</v>
      </c>
      <c r="N169">
        <v>1427.7825000000003</v>
      </c>
    </row>
    <row r="170" spans="2:14" x14ac:dyDescent="0.25">
      <c r="B170" s="5">
        <v>44172</v>
      </c>
      <c r="C170" t="s">
        <v>23</v>
      </c>
      <c r="G170" s="6">
        <v>794.14200000000005</v>
      </c>
      <c r="J170" t="s">
        <v>43</v>
      </c>
      <c r="K170" s="17">
        <v>9.5500000000000007</v>
      </c>
      <c r="L170" t="s">
        <v>15</v>
      </c>
      <c r="M170">
        <v>2020</v>
      </c>
      <c r="N170">
        <v>7584.0561000000007</v>
      </c>
    </row>
    <row r="171" spans="2:14" x14ac:dyDescent="0.25">
      <c r="B171" s="5">
        <v>44172</v>
      </c>
      <c r="C171" t="s">
        <v>23</v>
      </c>
      <c r="D171" t="s">
        <v>46</v>
      </c>
      <c r="E171" t="s">
        <v>14</v>
      </c>
      <c r="F171">
        <v>912</v>
      </c>
      <c r="G171" s="6">
        <v>912</v>
      </c>
      <c r="H171">
        <v>56.6</v>
      </c>
      <c r="I171">
        <v>12</v>
      </c>
      <c r="J171" t="s">
        <v>43</v>
      </c>
      <c r="K171" s="17">
        <v>9.5500000000000007</v>
      </c>
      <c r="L171" t="s">
        <v>15</v>
      </c>
      <c r="M171">
        <v>2020</v>
      </c>
      <c r="N171">
        <v>8709.6</v>
      </c>
    </row>
    <row r="172" spans="2:14" x14ac:dyDescent="0.25">
      <c r="B172" s="5">
        <v>44172</v>
      </c>
      <c r="C172" t="s">
        <v>23</v>
      </c>
      <c r="D172" t="s">
        <v>46</v>
      </c>
      <c r="E172" t="s">
        <v>14</v>
      </c>
      <c r="F172">
        <v>917</v>
      </c>
      <c r="G172" s="6">
        <v>917</v>
      </c>
      <c r="H172">
        <v>56.9</v>
      </c>
      <c r="I172">
        <v>12</v>
      </c>
      <c r="J172" t="s">
        <v>43</v>
      </c>
      <c r="K172" s="17">
        <v>9.5500000000000007</v>
      </c>
      <c r="L172" t="s">
        <v>15</v>
      </c>
      <c r="M172">
        <v>2020</v>
      </c>
      <c r="N172">
        <v>8757.35</v>
      </c>
    </row>
    <row r="173" spans="2:14" x14ac:dyDescent="0.25">
      <c r="B173" s="5">
        <v>44172</v>
      </c>
      <c r="C173" t="s">
        <v>23</v>
      </c>
      <c r="D173" t="s">
        <v>46</v>
      </c>
      <c r="E173" t="s">
        <v>14</v>
      </c>
      <c r="F173">
        <v>936</v>
      </c>
      <c r="G173" s="6">
        <v>936</v>
      </c>
      <c r="H173">
        <v>56.6</v>
      </c>
      <c r="I173">
        <v>12.2</v>
      </c>
      <c r="J173" t="s">
        <v>43</v>
      </c>
      <c r="K173" s="17">
        <v>9.5500000000000007</v>
      </c>
      <c r="L173" t="s">
        <v>15</v>
      </c>
      <c r="M173">
        <v>2020</v>
      </c>
      <c r="N173">
        <v>8938.8000000000011</v>
      </c>
    </row>
    <row r="174" spans="2:14" x14ac:dyDescent="0.25">
      <c r="B174" s="5">
        <v>44172</v>
      </c>
      <c r="C174" t="s">
        <v>23</v>
      </c>
      <c r="D174" t="s">
        <v>46</v>
      </c>
      <c r="E174" t="s">
        <v>14</v>
      </c>
      <c r="F174">
        <v>910</v>
      </c>
      <c r="G174" s="6">
        <v>910</v>
      </c>
      <c r="H174">
        <v>56.2</v>
      </c>
      <c r="I174">
        <v>12.2</v>
      </c>
      <c r="J174" t="s">
        <v>43</v>
      </c>
      <c r="K174" s="17">
        <v>9.5500000000000007</v>
      </c>
      <c r="L174" t="s">
        <v>15</v>
      </c>
      <c r="M174">
        <v>2020</v>
      </c>
      <c r="N174">
        <v>8690.5</v>
      </c>
    </row>
    <row r="175" spans="2:14" x14ac:dyDescent="0.25">
      <c r="B175" s="5">
        <v>44173</v>
      </c>
      <c r="C175" t="s">
        <v>23</v>
      </c>
      <c r="D175" t="s">
        <v>46</v>
      </c>
      <c r="E175" t="s">
        <v>14</v>
      </c>
      <c r="F175">
        <v>922.66700000000003</v>
      </c>
      <c r="G175" s="6">
        <v>922.66700000000003</v>
      </c>
      <c r="H175">
        <v>55.8</v>
      </c>
      <c r="I175">
        <v>12.4</v>
      </c>
      <c r="J175" t="s">
        <v>43</v>
      </c>
      <c r="K175" s="17">
        <v>9.5500000000000007</v>
      </c>
      <c r="L175" t="s">
        <v>15</v>
      </c>
      <c r="M175">
        <v>2020</v>
      </c>
      <c r="N175">
        <v>8811.4698500000013</v>
      </c>
    </row>
    <row r="176" spans="2:14" x14ac:dyDescent="0.25">
      <c r="B176" s="5">
        <v>44179</v>
      </c>
      <c r="C176" t="s">
        <v>23</v>
      </c>
      <c r="D176" t="s">
        <v>46</v>
      </c>
      <c r="E176" t="s">
        <v>14</v>
      </c>
      <c r="F176">
        <v>912.66700000000003</v>
      </c>
      <c r="G176" s="6">
        <v>912.66700000000003</v>
      </c>
      <c r="H176">
        <v>56.2</v>
      </c>
      <c r="I176">
        <v>13</v>
      </c>
      <c r="J176" t="s">
        <v>43</v>
      </c>
      <c r="K176" s="17">
        <v>9.82</v>
      </c>
      <c r="L176" t="s">
        <v>15</v>
      </c>
      <c r="M176">
        <v>2020</v>
      </c>
      <c r="N176">
        <v>8962.3899400000009</v>
      </c>
    </row>
    <row r="177" spans="2:14" x14ac:dyDescent="0.25">
      <c r="B177" s="5">
        <v>44179</v>
      </c>
      <c r="C177" t="s">
        <v>23</v>
      </c>
      <c r="D177" t="s">
        <v>46</v>
      </c>
      <c r="E177" t="s">
        <v>14</v>
      </c>
      <c r="F177">
        <v>935</v>
      </c>
      <c r="G177" s="6">
        <v>935</v>
      </c>
      <c r="H177">
        <v>55.6</v>
      </c>
      <c r="I177">
        <v>12.8</v>
      </c>
      <c r="J177" t="s">
        <v>43</v>
      </c>
      <c r="K177" s="17">
        <v>9.82</v>
      </c>
      <c r="L177" t="s">
        <v>15</v>
      </c>
      <c r="M177">
        <v>2020</v>
      </c>
      <c r="N177">
        <v>9181.7000000000007</v>
      </c>
    </row>
    <row r="178" spans="2:14" x14ac:dyDescent="0.25">
      <c r="B178" s="5">
        <v>44179</v>
      </c>
      <c r="C178" t="s">
        <v>23</v>
      </c>
      <c r="D178" t="s">
        <v>46</v>
      </c>
      <c r="E178" t="s">
        <v>14</v>
      </c>
      <c r="F178">
        <v>921</v>
      </c>
      <c r="G178" s="6">
        <v>921</v>
      </c>
      <c r="H178">
        <v>56</v>
      </c>
      <c r="I178">
        <v>12.9</v>
      </c>
      <c r="J178" t="s">
        <v>43</v>
      </c>
      <c r="K178" s="17">
        <v>9.82</v>
      </c>
      <c r="L178" t="s">
        <v>15</v>
      </c>
      <c r="M178">
        <v>2020</v>
      </c>
      <c r="N178">
        <v>9044.2200000000012</v>
      </c>
    </row>
    <row r="179" spans="2:14" x14ac:dyDescent="0.25">
      <c r="B179" s="5">
        <v>44179</v>
      </c>
      <c r="C179" t="s">
        <v>23</v>
      </c>
      <c r="D179" t="s">
        <v>46</v>
      </c>
      <c r="E179" t="s">
        <v>14</v>
      </c>
      <c r="F179">
        <v>933.33299999999997</v>
      </c>
      <c r="G179" s="6">
        <v>933.33299999999997</v>
      </c>
      <c r="H179">
        <v>56.6</v>
      </c>
      <c r="I179">
        <v>12.8</v>
      </c>
      <c r="J179" t="s">
        <v>43</v>
      </c>
      <c r="K179" s="17">
        <v>9.82</v>
      </c>
      <c r="L179" t="s">
        <v>15</v>
      </c>
      <c r="M179">
        <v>2020</v>
      </c>
      <c r="N179">
        <v>9165.3300600000002</v>
      </c>
    </row>
    <row r="180" spans="2:14" x14ac:dyDescent="0.25">
      <c r="B180" s="5">
        <v>44179</v>
      </c>
      <c r="C180" t="s">
        <v>23</v>
      </c>
      <c r="D180" t="s">
        <v>46</v>
      </c>
      <c r="E180" t="s">
        <v>14</v>
      </c>
      <c r="F180">
        <v>909.66700000000003</v>
      </c>
      <c r="G180" s="6">
        <v>269.19499999999999</v>
      </c>
      <c r="H180">
        <v>56</v>
      </c>
      <c r="I180">
        <v>12.7</v>
      </c>
      <c r="J180" t="s">
        <v>43</v>
      </c>
      <c r="K180" s="17">
        <v>9.82</v>
      </c>
      <c r="L180" t="s">
        <v>15</v>
      </c>
      <c r="M180">
        <v>2020</v>
      </c>
      <c r="N180">
        <v>2643.4949000000001</v>
      </c>
    </row>
    <row r="181" spans="2:14" x14ac:dyDescent="0.25">
      <c r="B181" s="5">
        <v>44179</v>
      </c>
      <c r="C181" t="s">
        <v>23</v>
      </c>
      <c r="G181" s="6">
        <v>640.47199999999998</v>
      </c>
      <c r="J181" t="s">
        <v>43</v>
      </c>
      <c r="K181" s="17">
        <v>10.210000000000001</v>
      </c>
      <c r="L181" t="s">
        <v>15</v>
      </c>
      <c r="M181">
        <v>2020</v>
      </c>
      <c r="N181">
        <v>6539.2191200000007</v>
      </c>
    </row>
    <row r="182" spans="2:14" x14ac:dyDescent="0.25">
      <c r="B182" s="5">
        <v>44180</v>
      </c>
      <c r="C182" t="s">
        <v>23</v>
      </c>
      <c r="D182" t="s">
        <v>46</v>
      </c>
      <c r="E182" t="s">
        <v>14</v>
      </c>
      <c r="F182">
        <v>1001.333</v>
      </c>
      <c r="G182" s="6">
        <v>1001.333</v>
      </c>
      <c r="H182">
        <v>55.2</v>
      </c>
      <c r="I182">
        <v>13</v>
      </c>
      <c r="J182" t="s">
        <v>43</v>
      </c>
      <c r="K182" s="17">
        <v>10.210000000000001</v>
      </c>
      <c r="L182" t="s">
        <v>15</v>
      </c>
      <c r="M182">
        <v>2020</v>
      </c>
      <c r="N182">
        <v>10223.609930000001</v>
      </c>
    </row>
    <row r="183" spans="2:14" x14ac:dyDescent="0.25">
      <c r="B183" s="5">
        <v>44180</v>
      </c>
      <c r="C183" t="s">
        <v>23</v>
      </c>
      <c r="D183" t="s">
        <v>46</v>
      </c>
      <c r="E183" t="s">
        <v>14</v>
      </c>
      <c r="F183">
        <v>941</v>
      </c>
      <c r="G183" s="6">
        <v>941</v>
      </c>
      <c r="H183">
        <v>55.3</v>
      </c>
      <c r="I183">
        <v>13</v>
      </c>
      <c r="J183" t="s">
        <v>43</v>
      </c>
      <c r="K183" s="17">
        <v>10.210000000000001</v>
      </c>
      <c r="L183" t="s">
        <v>15</v>
      </c>
      <c r="M183">
        <v>2020</v>
      </c>
      <c r="N183">
        <v>9607.61</v>
      </c>
    </row>
    <row r="184" spans="2:14" x14ac:dyDescent="0.25">
      <c r="B184" s="5">
        <v>44180</v>
      </c>
      <c r="C184" t="s">
        <v>23</v>
      </c>
      <c r="D184" t="s">
        <v>46</v>
      </c>
      <c r="E184" t="s">
        <v>14</v>
      </c>
      <c r="F184">
        <v>961.66700000000003</v>
      </c>
      <c r="G184" s="6">
        <v>428.52800000000002</v>
      </c>
      <c r="H184">
        <v>55.2</v>
      </c>
      <c r="I184">
        <v>13</v>
      </c>
      <c r="J184" t="s">
        <v>43</v>
      </c>
      <c r="K184" s="17">
        <v>10.210000000000001</v>
      </c>
      <c r="L184" t="s">
        <v>15</v>
      </c>
      <c r="M184">
        <v>2020</v>
      </c>
      <c r="N184">
        <v>4375.2708800000009</v>
      </c>
    </row>
    <row r="185" spans="2:14" x14ac:dyDescent="0.25">
      <c r="B185" s="5">
        <v>44180</v>
      </c>
      <c r="C185" t="s">
        <v>23</v>
      </c>
      <c r="G185" s="6">
        <v>533.13900000000001</v>
      </c>
      <c r="J185" t="s">
        <v>43</v>
      </c>
      <c r="K185" s="17">
        <v>9.5150000000000006</v>
      </c>
      <c r="L185" t="s">
        <v>15</v>
      </c>
      <c r="M185">
        <v>2020</v>
      </c>
      <c r="N185">
        <v>5072.8175850000007</v>
      </c>
    </row>
    <row r="186" spans="2:14" x14ac:dyDescent="0.25">
      <c r="B186" s="5">
        <v>44180</v>
      </c>
      <c r="C186" t="s">
        <v>23</v>
      </c>
      <c r="D186" t="s">
        <v>46</v>
      </c>
      <c r="E186" t="s">
        <v>14</v>
      </c>
      <c r="F186">
        <v>924.66700000000003</v>
      </c>
      <c r="G186" s="6">
        <v>924.66700000000003</v>
      </c>
      <c r="H186">
        <v>56.3</v>
      </c>
      <c r="I186">
        <v>13</v>
      </c>
      <c r="J186" t="s">
        <v>43</v>
      </c>
      <c r="K186" s="17">
        <v>9.5150000000000006</v>
      </c>
      <c r="L186" t="s">
        <v>15</v>
      </c>
      <c r="M186">
        <v>2020</v>
      </c>
      <c r="N186">
        <v>8798.2065050000001</v>
      </c>
    </row>
    <row r="187" spans="2:14" x14ac:dyDescent="0.25">
      <c r="B187" s="5">
        <v>44182</v>
      </c>
      <c r="C187" t="s">
        <v>23</v>
      </c>
      <c r="D187" t="s">
        <v>46</v>
      </c>
      <c r="E187" t="s">
        <v>14</v>
      </c>
      <c r="F187">
        <v>956.66700000000003</v>
      </c>
      <c r="G187" s="6">
        <v>942.31700000000001</v>
      </c>
      <c r="H187">
        <v>55.5</v>
      </c>
      <c r="I187">
        <v>13.5</v>
      </c>
      <c r="J187" t="s">
        <v>43</v>
      </c>
      <c r="K187" s="17">
        <v>11</v>
      </c>
      <c r="L187" t="s">
        <v>15</v>
      </c>
      <c r="M187">
        <v>2020</v>
      </c>
      <c r="N187">
        <v>10365.487000000001</v>
      </c>
    </row>
    <row r="188" spans="2:14" x14ac:dyDescent="0.25">
      <c r="B188" s="5">
        <v>44183</v>
      </c>
      <c r="C188" t="s">
        <v>23</v>
      </c>
      <c r="D188" t="s">
        <v>46</v>
      </c>
      <c r="E188" t="s">
        <v>14</v>
      </c>
      <c r="F188">
        <v>946.33299999999997</v>
      </c>
      <c r="G188" s="6">
        <v>946.33299999999997</v>
      </c>
      <c r="H188">
        <v>55</v>
      </c>
      <c r="I188">
        <v>13</v>
      </c>
      <c r="J188" t="s">
        <v>43</v>
      </c>
      <c r="K188" s="17">
        <v>11</v>
      </c>
      <c r="L188" t="s">
        <v>15</v>
      </c>
      <c r="M188">
        <v>2020</v>
      </c>
      <c r="N188">
        <v>10409.663</v>
      </c>
    </row>
    <row r="189" spans="2:14" x14ac:dyDescent="0.25">
      <c r="B189" s="5">
        <v>44186</v>
      </c>
      <c r="C189" t="s">
        <v>23</v>
      </c>
      <c r="D189" t="s">
        <v>46</v>
      </c>
      <c r="E189" t="s">
        <v>14</v>
      </c>
      <c r="F189">
        <v>1002.333</v>
      </c>
      <c r="G189" s="6">
        <v>325.54199999999997</v>
      </c>
      <c r="H189">
        <v>55.1</v>
      </c>
      <c r="I189">
        <v>13</v>
      </c>
      <c r="J189" t="s">
        <v>43</v>
      </c>
      <c r="K189" s="17">
        <v>11</v>
      </c>
      <c r="L189" t="s">
        <v>15</v>
      </c>
      <c r="M189">
        <v>2020</v>
      </c>
      <c r="N189">
        <v>3580.9619999999995</v>
      </c>
    </row>
    <row r="190" spans="2:14" x14ac:dyDescent="0.25">
      <c r="B190" s="5">
        <v>44186</v>
      </c>
      <c r="C190" t="s">
        <v>23</v>
      </c>
      <c r="G190" s="6">
        <v>676.79100000000005</v>
      </c>
      <c r="J190" t="s">
        <v>43</v>
      </c>
      <c r="K190" s="17">
        <v>12.62</v>
      </c>
      <c r="L190" t="s">
        <v>15</v>
      </c>
      <c r="M190">
        <v>2020</v>
      </c>
      <c r="N190">
        <v>8541.1024199999993</v>
      </c>
    </row>
    <row r="191" spans="2:14" x14ac:dyDescent="0.25">
      <c r="B191" s="5">
        <v>44186</v>
      </c>
      <c r="C191" t="s">
        <v>23</v>
      </c>
      <c r="D191" t="s">
        <v>46</v>
      </c>
      <c r="E191" t="s">
        <v>14</v>
      </c>
      <c r="F191">
        <v>950.66700000000003</v>
      </c>
      <c r="G191" s="6">
        <v>950.66700000000003</v>
      </c>
      <c r="H191">
        <v>55.1</v>
      </c>
      <c r="I191">
        <v>13</v>
      </c>
      <c r="J191" t="s">
        <v>43</v>
      </c>
      <c r="K191" s="17">
        <v>12.62</v>
      </c>
      <c r="L191" t="s">
        <v>15</v>
      </c>
      <c r="M191">
        <v>2020</v>
      </c>
      <c r="N191">
        <v>11997.41754</v>
      </c>
    </row>
    <row r="192" spans="2:14" x14ac:dyDescent="0.25">
      <c r="B192" s="5">
        <v>44186</v>
      </c>
      <c r="C192" t="s">
        <v>23</v>
      </c>
      <c r="D192" t="s">
        <v>46</v>
      </c>
      <c r="E192" t="s">
        <v>14</v>
      </c>
      <c r="F192">
        <v>1004.333</v>
      </c>
      <c r="G192" s="6">
        <v>1004.333</v>
      </c>
      <c r="H192">
        <v>55.7</v>
      </c>
      <c r="I192">
        <v>12.5</v>
      </c>
      <c r="J192" t="s">
        <v>43</v>
      </c>
      <c r="K192" s="17">
        <v>12.62</v>
      </c>
      <c r="L192" t="s">
        <v>15</v>
      </c>
      <c r="M192">
        <v>2020</v>
      </c>
      <c r="N192">
        <v>12674.682459999998</v>
      </c>
    </row>
    <row r="193" spans="2:14" x14ac:dyDescent="0.25">
      <c r="B193" s="5">
        <v>44086</v>
      </c>
      <c r="C193" t="s">
        <v>28</v>
      </c>
      <c r="D193" t="s">
        <v>48</v>
      </c>
      <c r="E193" t="s">
        <v>14</v>
      </c>
      <c r="F193">
        <v>950</v>
      </c>
      <c r="G193" s="6">
        <v>950</v>
      </c>
      <c r="I193">
        <v>18</v>
      </c>
      <c r="L193" t="s">
        <v>18</v>
      </c>
      <c r="M193">
        <v>2020</v>
      </c>
      <c r="N193">
        <v>0</v>
      </c>
    </row>
    <row r="194" spans="2:14" x14ac:dyDescent="0.25">
      <c r="B194" s="5">
        <v>44092</v>
      </c>
      <c r="C194" t="s">
        <v>27</v>
      </c>
      <c r="D194" t="s">
        <v>49</v>
      </c>
      <c r="E194" t="s">
        <v>50</v>
      </c>
      <c r="F194">
        <v>853.33299999999997</v>
      </c>
      <c r="G194" s="6">
        <v>853.33299999999997</v>
      </c>
      <c r="H194">
        <v>56.5</v>
      </c>
      <c r="I194">
        <v>12.7</v>
      </c>
      <c r="J194" t="s">
        <v>43</v>
      </c>
      <c r="K194" s="17">
        <v>9</v>
      </c>
      <c r="L194" t="s">
        <v>15</v>
      </c>
      <c r="M194">
        <v>2020</v>
      </c>
      <c r="N194">
        <v>7679.9969999999994</v>
      </c>
    </row>
    <row r="195" spans="2:14" x14ac:dyDescent="0.25">
      <c r="B195" s="5">
        <v>44092</v>
      </c>
      <c r="C195" t="s">
        <v>27</v>
      </c>
      <c r="D195" t="s">
        <v>49</v>
      </c>
      <c r="E195" t="s">
        <v>50</v>
      </c>
      <c r="F195">
        <v>892.66700000000003</v>
      </c>
      <c r="G195" s="6">
        <v>892.66700000000003</v>
      </c>
      <c r="H195">
        <v>56.6</v>
      </c>
      <c r="I195">
        <v>13</v>
      </c>
      <c r="J195" t="s">
        <v>43</v>
      </c>
      <c r="K195" s="17">
        <v>9</v>
      </c>
      <c r="L195" t="s">
        <v>15</v>
      </c>
      <c r="M195">
        <v>2020</v>
      </c>
      <c r="N195">
        <v>8034.0030000000006</v>
      </c>
    </row>
    <row r="196" spans="2:14" x14ac:dyDescent="0.25">
      <c r="B196" s="5">
        <v>44093</v>
      </c>
      <c r="C196" t="s">
        <v>27</v>
      </c>
      <c r="D196" t="s">
        <v>49</v>
      </c>
      <c r="E196" t="s">
        <v>50</v>
      </c>
      <c r="F196">
        <v>849.33299999999997</v>
      </c>
      <c r="G196" s="6">
        <v>849.33299999999997</v>
      </c>
      <c r="H196">
        <v>56.1</v>
      </c>
      <c r="I196">
        <v>12.8</v>
      </c>
      <c r="J196" t="s">
        <v>43</v>
      </c>
      <c r="K196" s="17">
        <v>9</v>
      </c>
      <c r="L196" t="s">
        <v>15</v>
      </c>
      <c r="M196">
        <v>2020</v>
      </c>
      <c r="N196">
        <v>7643.9969999999994</v>
      </c>
    </row>
    <row r="197" spans="2:14" x14ac:dyDescent="0.25">
      <c r="B197" s="5">
        <v>44093</v>
      </c>
      <c r="C197" t="s">
        <v>27</v>
      </c>
      <c r="D197" t="s">
        <v>49</v>
      </c>
      <c r="E197" t="s">
        <v>50</v>
      </c>
      <c r="F197">
        <v>977</v>
      </c>
      <c r="G197" s="6">
        <v>977</v>
      </c>
      <c r="H197">
        <v>56.4</v>
      </c>
      <c r="I197">
        <v>12.4</v>
      </c>
      <c r="J197" t="s">
        <v>43</v>
      </c>
      <c r="K197" s="17">
        <v>9</v>
      </c>
      <c r="L197" t="s">
        <v>15</v>
      </c>
      <c r="M197">
        <v>2020</v>
      </c>
      <c r="N197">
        <v>8793</v>
      </c>
    </row>
    <row r="198" spans="2:14" x14ac:dyDescent="0.25">
      <c r="B198" s="5">
        <v>44095</v>
      </c>
      <c r="C198" t="s">
        <v>27</v>
      </c>
      <c r="D198" t="s">
        <v>49</v>
      </c>
      <c r="E198" t="s">
        <v>50</v>
      </c>
      <c r="F198">
        <v>961.33299999999997</v>
      </c>
      <c r="G198" s="6">
        <v>760.2</v>
      </c>
      <c r="H198">
        <v>56.2</v>
      </c>
      <c r="I198">
        <v>10.9</v>
      </c>
      <c r="J198" t="s">
        <v>43</v>
      </c>
      <c r="K198" s="17">
        <v>9</v>
      </c>
      <c r="L198" t="s">
        <v>15</v>
      </c>
      <c r="M198">
        <v>2020</v>
      </c>
      <c r="N198">
        <v>6841.8</v>
      </c>
    </row>
    <row r="199" spans="2:14" x14ac:dyDescent="0.25">
      <c r="B199" s="5">
        <v>44095</v>
      </c>
      <c r="C199" t="s">
        <v>27</v>
      </c>
      <c r="G199" s="6">
        <v>201.01329999999999</v>
      </c>
      <c r="J199" t="s">
        <v>43</v>
      </c>
      <c r="K199" s="17">
        <v>10.26</v>
      </c>
      <c r="L199" t="s">
        <v>15</v>
      </c>
      <c r="M199">
        <v>2020</v>
      </c>
      <c r="N199">
        <v>2062.3964579999997</v>
      </c>
    </row>
    <row r="200" spans="2:14" x14ac:dyDescent="0.25">
      <c r="B200" s="5">
        <v>44167</v>
      </c>
      <c r="C200" t="s">
        <v>27</v>
      </c>
      <c r="D200" t="s">
        <v>49</v>
      </c>
      <c r="E200" t="s">
        <v>50</v>
      </c>
      <c r="F200">
        <v>965.33299999999997</v>
      </c>
      <c r="G200" s="6">
        <v>960.50599999999997</v>
      </c>
      <c r="H200">
        <v>56.1</v>
      </c>
      <c r="I200">
        <v>11.74</v>
      </c>
      <c r="J200" t="s">
        <v>43</v>
      </c>
      <c r="K200" s="17">
        <v>9.82</v>
      </c>
      <c r="L200" t="s">
        <v>15</v>
      </c>
      <c r="M200">
        <v>2020</v>
      </c>
      <c r="N200">
        <v>9432.1689200000001</v>
      </c>
    </row>
    <row r="201" spans="2:14" x14ac:dyDescent="0.25">
      <c r="B201" s="5">
        <v>44168</v>
      </c>
      <c r="C201" t="s">
        <v>27</v>
      </c>
      <c r="D201" t="s">
        <v>49</v>
      </c>
      <c r="E201" t="s">
        <v>50</v>
      </c>
      <c r="F201">
        <v>973.33299999999997</v>
      </c>
      <c r="G201" s="6">
        <v>973.33299999999997</v>
      </c>
      <c r="H201">
        <v>55.5</v>
      </c>
      <c r="I201">
        <v>11.3</v>
      </c>
      <c r="J201" t="s">
        <v>43</v>
      </c>
      <c r="K201" s="17">
        <v>9.3000000000000007</v>
      </c>
      <c r="L201" t="s">
        <v>15</v>
      </c>
      <c r="M201">
        <v>2020</v>
      </c>
      <c r="N201">
        <v>9051.9969000000001</v>
      </c>
    </row>
    <row r="202" spans="2:14" x14ac:dyDescent="0.25">
      <c r="B202" s="5">
        <v>44176</v>
      </c>
      <c r="C202" t="s">
        <v>27</v>
      </c>
      <c r="D202" t="s">
        <v>49</v>
      </c>
      <c r="E202" t="s">
        <v>50</v>
      </c>
      <c r="F202">
        <v>958</v>
      </c>
      <c r="G202" s="6">
        <v>958</v>
      </c>
      <c r="H202">
        <v>55.2</v>
      </c>
      <c r="I202">
        <v>11</v>
      </c>
      <c r="J202" t="s">
        <v>43</v>
      </c>
      <c r="K202" s="17">
        <v>10.039999999999999</v>
      </c>
      <c r="L202" t="s">
        <v>15</v>
      </c>
      <c r="M202">
        <v>2020</v>
      </c>
      <c r="N202">
        <v>9618.32</v>
      </c>
    </row>
    <row r="203" spans="2:14" x14ac:dyDescent="0.25">
      <c r="B203" s="5">
        <v>44180</v>
      </c>
      <c r="C203" t="s">
        <v>27</v>
      </c>
      <c r="D203" t="s">
        <v>49</v>
      </c>
      <c r="E203" t="s">
        <v>50</v>
      </c>
      <c r="F203">
        <v>988.66700000000003</v>
      </c>
      <c r="G203" s="6">
        <v>988.66700000000003</v>
      </c>
      <c r="H203">
        <v>55.5</v>
      </c>
      <c r="I203">
        <v>10.9</v>
      </c>
      <c r="J203" t="s">
        <v>43</v>
      </c>
      <c r="K203" s="17">
        <v>10.210000000000001</v>
      </c>
      <c r="L203" t="s">
        <v>15</v>
      </c>
      <c r="M203">
        <v>2020</v>
      </c>
      <c r="N203">
        <v>10094.290070000001</v>
      </c>
    </row>
    <row r="204" spans="2:14" x14ac:dyDescent="0.25">
      <c r="B204" s="5">
        <v>44182</v>
      </c>
      <c r="C204" t="s">
        <v>27</v>
      </c>
      <c r="D204" t="s">
        <v>49</v>
      </c>
      <c r="E204" t="s">
        <v>50</v>
      </c>
      <c r="F204">
        <v>971.66700000000003</v>
      </c>
      <c r="G204" s="6">
        <v>971.66700000000003</v>
      </c>
      <c r="H204">
        <v>55.5</v>
      </c>
      <c r="I204">
        <v>11</v>
      </c>
      <c r="J204" t="s">
        <v>43</v>
      </c>
      <c r="K204" s="17">
        <v>11</v>
      </c>
      <c r="L204" t="s">
        <v>15</v>
      </c>
      <c r="M204">
        <v>2020</v>
      </c>
      <c r="N204">
        <v>10688.337</v>
      </c>
    </row>
    <row r="205" spans="2:14" x14ac:dyDescent="0.25">
      <c r="B205" s="5">
        <v>44182</v>
      </c>
      <c r="C205" t="s">
        <v>27</v>
      </c>
      <c r="D205" t="s">
        <v>49</v>
      </c>
      <c r="E205" t="s">
        <v>50</v>
      </c>
      <c r="F205">
        <v>942.66700000000003</v>
      </c>
      <c r="G205" s="6">
        <v>942.66700000000003</v>
      </c>
      <c r="H205">
        <v>55.3</v>
      </c>
      <c r="I205">
        <v>11</v>
      </c>
      <c r="J205" t="s">
        <v>43</v>
      </c>
      <c r="K205" s="17">
        <v>11</v>
      </c>
      <c r="L205" t="s">
        <v>15</v>
      </c>
      <c r="M205">
        <v>2020</v>
      </c>
      <c r="N205">
        <v>10369.337</v>
      </c>
    </row>
    <row r="206" spans="2:14" x14ac:dyDescent="0.25">
      <c r="B206" s="5">
        <v>44183</v>
      </c>
      <c r="C206" t="s">
        <v>27</v>
      </c>
      <c r="D206" t="s">
        <v>49</v>
      </c>
      <c r="E206" t="s">
        <v>50</v>
      </c>
      <c r="F206">
        <v>956.66700000000003</v>
      </c>
      <c r="G206" s="6">
        <v>956.66700000000003</v>
      </c>
      <c r="H206">
        <v>54.5</v>
      </c>
      <c r="I206">
        <v>11.7</v>
      </c>
      <c r="J206" t="s">
        <v>43</v>
      </c>
      <c r="K206" s="17">
        <v>11</v>
      </c>
      <c r="L206" t="s">
        <v>15</v>
      </c>
      <c r="M206">
        <v>2020</v>
      </c>
      <c r="N206">
        <v>10523.337</v>
      </c>
    </row>
    <row r="207" spans="2:14" x14ac:dyDescent="0.25">
      <c r="B207" s="5">
        <v>44183</v>
      </c>
      <c r="C207" t="s">
        <v>27</v>
      </c>
      <c r="D207" t="s">
        <v>49</v>
      </c>
      <c r="E207" t="s">
        <v>50</v>
      </c>
      <c r="F207">
        <v>960.66700000000003</v>
      </c>
      <c r="G207" s="6">
        <v>785.95299999999997</v>
      </c>
      <c r="H207">
        <v>55.5</v>
      </c>
      <c r="I207">
        <v>11.3</v>
      </c>
      <c r="J207" t="s">
        <v>43</v>
      </c>
      <c r="K207" s="17">
        <v>11</v>
      </c>
      <c r="L207" t="s">
        <v>15</v>
      </c>
      <c r="M207">
        <v>2020</v>
      </c>
      <c r="N207">
        <v>8645.4830000000002</v>
      </c>
    </row>
    <row r="208" spans="2:14" x14ac:dyDescent="0.25">
      <c r="B208" s="5">
        <v>44183</v>
      </c>
      <c r="C208" t="s">
        <v>27</v>
      </c>
      <c r="G208" s="6">
        <v>174.714</v>
      </c>
      <c r="J208" t="s">
        <v>43</v>
      </c>
      <c r="K208" s="17">
        <v>11</v>
      </c>
      <c r="L208" t="s">
        <v>15</v>
      </c>
      <c r="M208">
        <v>2020</v>
      </c>
      <c r="N208">
        <v>1921.854</v>
      </c>
    </row>
    <row r="209" spans="2:14" x14ac:dyDescent="0.25">
      <c r="B209" s="5">
        <v>44183</v>
      </c>
      <c r="C209" t="s">
        <v>27</v>
      </c>
      <c r="D209" t="s">
        <v>49</v>
      </c>
      <c r="E209" t="s">
        <v>50</v>
      </c>
      <c r="F209">
        <v>960</v>
      </c>
      <c r="G209" s="6">
        <v>960</v>
      </c>
      <c r="H209">
        <v>54.2</v>
      </c>
      <c r="I209">
        <v>11.5</v>
      </c>
      <c r="J209" t="s">
        <v>43</v>
      </c>
      <c r="K209" s="17">
        <v>11</v>
      </c>
      <c r="L209" t="s">
        <v>15</v>
      </c>
      <c r="M209">
        <v>2020</v>
      </c>
      <c r="N209">
        <v>10560</v>
      </c>
    </row>
    <row r="210" spans="2:14" x14ac:dyDescent="0.25">
      <c r="B210" s="5">
        <v>44183</v>
      </c>
      <c r="C210" t="s">
        <v>27</v>
      </c>
      <c r="D210" t="s">
        <v>49</v>
      </c>
      <c r="E210" t="s">
        <v>50</v>
      </c>
      <c r="F210">
        <v>954.66700000000003</v>
      </c>
      <c r="G210" s="6">
        <v>954.66700000000003</v>
      </c>
      <c r="H210">
        <v>55.2</v>
      </c>
      <c r="I210">
        <v>11.7</v>
      </c>
      <c r="J210" t="s">
        <v>43</v>
      </c>
      <c r="K210" s="17">
        <v>11</v>
      </c>
      <c r="L210" t="s">
        <v>15</v>
      </c>
      <c r="M210">
        <v>2020</v>
      </c>
      <c r="N210">
        <v>10501.337</v>
      </c>
    </row>
    <row r="211" spans="2:14" x14ac:dyDescent="0.25">
      <c r="B211" s="5">
        <v>44203</v>
      </c>
      <c r="C211" t="s">
        <v>27</v>
      </c>
      <c r="D211" t="s">
        <v>49</v>
      </c>
      <c r="E211" t="s">
        <v>50</v>
      </c>
      <c r="F211">
        <v>917.66700000000003</v>
      </c>
      <c r="G211" s="6">
        <v>917.66700000000003</v>
      </c>
      <c r="H211">
        <v>55.8</v>
      </c>
      <c r="I211">
        <v>11.9</v>
      </c>
      <c r="J211" t="s">
        <v>43</v>
      </c>
      <c r="K211" s="17">
        <v>9.1300000000000008</v>
      </c>
      <c r="L211" t="s">
        <v>15</v>
      </c>
      <c r="M211">
        <v>2020</v>
      </c>
      <c r="N211">
        <v>8378.2997100000011</v>
      </c>
    </row>
    <row r="212" spans="2:14" x14ac:dyDescent="0.25">
      <c r="B212" s="5">
        <v>44203</v>
      </c>
      <c r="C212" t="s">
        <v>27</v>
      </c>
      <c r="D212" t="s">
        <v>49</v>
      </c>
      <c r="E212" t="s">
        <v>50</v>
      </c>
      <c r="F212">
        <v>901</v>
      </c>
      <c r="G212" s="6">
        <v>52.406999999999996</v>
      </c>
      <c r="H212">
        <v>55.7</v>
      </c>
      <c r="I212">
        <v>12</v>
      </c>
      <c r="J212" t="s">
        <v>43</v>
      </c>
      <c r="K212" s="17">
        <v>9.1300000000000008</v>
      </c>
      <c r="L212" t="s">
        <v>15</v>
      </c>
      <c r="M212">
        <v>2020</v>
      </c>
      <c r="N212">
        <v>478.47591</v>
      </c>
    </row>
    <row r="213" spans="2:14" x14ac:dyDescent="0.25">
      <c r="B213" s="5">
        <v>44203</v>
      </c>
      <c r="C213" t="s">
        <v>27</v>
      </c>
      <c r="G213" s="6">
        <v>848.59299999999996</v>
      </c>
      <c r="J213" t="s">
        <v>43</v>
      </c>
      <c r="K213" s="17">
        <v>9.34</v>
      </c>
      <c r="L213" t="s">
        <v>15</v>
      </c>
      <c r="M213">
        <v>2020</v>
      </c>
      <c r="N213">
        <v>7925.8586199999991</v>
      </c>
    </row>
    <row r="214" spans="2:14" x14ac:dyDescent="0.25">
      <c r="B214" s="5">
        <v>44207</v>
      </c>
      <c r="C214" t="s">
        <v>27</v>
      </c>
      <c r="D214" t="s">
        <v>49</v>
      </c>
      <c r="E214" t="s">
        <v>50</v>
      </c>
      <c r="F214">
        <v>850</v>
      </c>
      <c r="G214" s="6">
        <v>850</v>
      </c>
      <c r="H214">
        <v>55</v>
      </c>
      <c r="I214">
        <v>12.2</v>
      </c>
      <c r="J214" t="s">
        <v>43</v>
      </c>
      <c r="K214" s="17">
        <v>9.34</v>
      </c>
      <c r="L214" t="s">
        <v>15</v>
      </c>
      <c r="M214">
        <v>2020</v>
      </c>
      <c r="N214">
        <v>7939</v>
      </c>
    </row>
    <row r="215" spans="2:14" x14ac:dyDescent="0.25">
      <c r="B215" s="5">
        <v>44207</v>
      </c>
      <c r="C215" t="s">
        <v>27</v>
      </c>
      <c r="D215" t="s">
        <v>49</v>
      </c>
      <c r="E215" t="s">
        <v>50</v>
      </c>
      <c r="F215">
        <v>846.66700000000003</v>
      </c>
      <c r="G215" s="6">
        <v>846.66700000000003</v>
      </c>
      <c r="H215">
        <v>55.7</v>
      </c>
      <c r="I215">
        <v>12.3</v>
      </c>
      <c r="J215" t="s">
        <v>43</v>
      </c>
      <c r="K215" s="17">
        <v>9.34</v>
      </c>
      <c r="L215" t="s">
        <v>15</v>
      </c>
      <c r="M215">
        <v>2020</v>
      </c>
      <c r="N215">
        <v>7907.86978</v>
      </c>
    </row>
    <row r="216" spans="2:14" x14ac:dyDescent="0.25">
      <c r="B216" s="5">
        <v>44207</v>
      </c>
      <c r="C216" t="s">
        <v>27</v>
      </c>
      <c r="D216" t="s">
        <v>49</v>
      </c>
      <c r="E216" t="s">
        <v>50</v>
      </c>
      <c r="F216">
        <v>816.66700000000003</v>
      </c>
      <c r="G216" s="6">
        <v>816.66700000000003</v>
      </c>
      <c r="H216">
        <v>55.2</v>
      </c>
      <c r="I216">
        <v>12.2</v>
      </c>
      <c r="J216" t="s">
        <v>43</v>
      </c>
      <c r="K216" s="17">
        <v>9.34</v>
      </c>
      <c r="L216" t="s">
        <v>15</v>
      </c>
      <c r="M216">
        <v>2020</v>
      </c>
      <c r="N216">
        <v>7627.6697800000002</v>
      </c>
    </row>
    <row r="217" spans="2:14" x14ac:dyDescent="0.25">
      <c r="B217" s="5">
        <v>44208</v>
      </c>
      <c r="C217" t="s">
        <v>27</v>
      </c>
      <c r="D217" t="s">
        <v>49</v>
      </c>
      <c r="E217" t="s">
        <v>50</v>
      </c>
      <c r="F217">
        <v>818</v>
      </c>
      <c r="G217" s="6">
        <v>638.07299999999998</v>
      </c>
      <c r="H217">
        <v>55.5</v>
      </c>
      <c r="I217">
        <v>12.2</v>
      </c>
      <c r="J217" t="s">
        <v>43</v>
      </c>
      <c r="K217" s="17">
        <v>9.34</v>
      </c>
      <c r="L217" t="s">
        <v>15</v>
      </c>
      <c r="M217">
        <v>2020</v>
      </c>
      <c r="N217">
        <v>5959.6018199999999</v>
      </c>
    </row>
    <row r="218" spans="2:14" x14ac:dyDescent="0.25">
      <c r="B218" s="5">
        <v>44208</v>
      </c>
      <c r="C218" t="s">
        <v>27</v>
      </c>
      <c r="G218" s="6">
        <v>179.92699999999999</v>
      </c>
      <c r="J218" t="s">
        <v>43</v>
      </c>
      <c r="K218" s="17">
        <v>10.59</v>
      </c>
      <c r="L218" t="s">
        <v>15</v>
      </c>
      <c r="M218">
        <v>2020</v>
      </c>
      <c r="N218">
        <v>1905.4269299999999</v>
      </c>
    </row>
    <row r="219" spans="2:14" x14ac:dyDescent="0.25">
      <c r="B219" s="5">
        <v>44217</v>
      </c>
      <c r="C219" t="s">
        <v>27</v>
      </c>
      <c r="D219" t="s">
        <v>49</v>
      </c>
      <c r="E219" t="s">
        <v>50</v>
      </c>
      <c r="F219">
        <v>812.33299999999997</v>
      </c>
      <c r="G219" s="6">
        <v>812.33299999999997</v>
      </c>
      <c r="H219">
        <v>54.4</v>
      </c>
      <c r="I219">
        <v>12.3</v>
      </c>
      <c r="J219" t="s">
        <v>43</v>
      </c>
      <c r="K219" s="17">
        <v>10.97</v>
      </c>
      <c r="L219" t="s">
        <v>15</v>
      </c>
      <c r="M219">
        <v>2020</v>
      </c>
      <c r="N219">
        <v>8911.2930099999994</v>
      </c>
    </row>
    <row r="220" spans="2:14" x14ac:dyDescent="0.25">
      <c r="B220" s="5">
        <v>44218</v>
      </c>
      <c r="C220" t="s">
        <v>27</v>
      </c>
      <c r="D220" t="s">
        <v>49</v>
      </c>
      <c r="E220" t="s">
        <v>50</v>
      </c>
      <c r="F220">
        <v>652.33299999999997</v>
      </c>
      <c r="G220" s="6">
        <v>652.33299999999997</v>
      </c>
      <c r="H220">
        <v>55.8</v>
      </c>
      <c r="I220">
        <v>11.8</v>
      </c>
      <c r="J220" t="s">
        <v>43</v>
      </c>
      <c r="K220" s="17">
        <v>10.97</v>
      </c>
      <c r="L220" t="s">
        <v>15</v>
      </c>
      <c r="M220">
        <v>2020</v>
      </c>
      <c r="N220">
        <v>7156.0930100000005</v>
      </c>
    </row>
    <row r="221" spans="2:14" x14ac:dyDescent="0.25">
      <c r="B221" s="5">
        <v>44084</v>
      </c>
      <c r="C221" t="s">
        <v>29</v>
      </c>
      <c r="D221" t="s">
        <v>46</v>
      </c>
      <c r="E221" t="s">
        <v>14</v>
      </c>
      <c r="F221">
        <v>857</v>
      </c>
      <c r="G221" s="6">
        <v>857</v>
      </c>
      <c r="H221">
        <v>55.5</v>
      </c>
      <c r="I221">
        <v>12.8</v>
      </c>
      <c r="J221" t="s">
        <v>43</v>
      </c>
      <c r="K221" s="17">
        <v>9</v>
      </c>
      <c r="L221" t="s">
        <v>15</v>
      </c>
      <c r="M221">
        <v>2020</v>
      </c>
      <c r="N221">
        <v>7713</v>
      </c>
    </row>
    <row r="222" spans="2:14" x14ac:dyDescent="0.25">
      <c r="B222" s="5">
        <v>44084</v>
      </c>
      <c r="C222" t="s">
        <v>29</v>
      </c>
      <c r="D222" t="s">
        <v>46</v>
      </c>
      <c r="E222" t="s">
        <v>14</v>
      </c>
      <c r="F222">
        <v>872.33299999999997</v>
      </c>
      <c r="G222" s="6">
        <v>872.33299999999997</v>
      </c>
      <c r="H222">
        <v>56.2</v>
      </c>
      <c r="I222">
        <v>12.3</v>
      </c>
      <c r="J222" t="s">
        <v>43</v>
      </c>
      <c r="K222" s="17">
        <v>9</v>
      </c>
      <c r="L222" t="s">
        <v>15</v>
      </c>
      <c r="M222">
        <v>2020</v>
      </c>
      <c r="N222">
        <v>7850.9969999999994</v>
      </c>
    </row>
    <row r="223" spans="2:14" x14ac:dyDescent="0.25">
      <c r="B223" s="5">
        <v>44085</v>
      </c>
      <c r="C223" t="s">
        <v>29</v>
      </c>
      <c r="D223" t="s">
        <v>46</v>
      </c>
      <c r="E223" t="s">
        <v>14</v>
      </c>
      <c r="F223">
        <v>764</v>
      </c>
      <c r="G223" s="6">
        <v>764</v>
      </c>
      <c r="H223">
        <v>55.5</v>
      </c>
      <c r="I223">
        <v>13</v>
      </c>
      <c r="J223" t="s">
        <v>43</v>
      </c>
      <c r="K223" s="17">
        <v>9</v>
      </c>
      <c r="L223" t="s">
        <v>15</v>
      </c>
      <c r="M223">
        <v>2020</v>
      </c>
      <c r="N223">
        <v>6876</v>
      </c>
    </row>
    <row r="224" spans="2:14" x14ac:dyDescent="0.25">
      <c r="B224" s="5">
        <v>44085</v>
      </c>
      <c r="C224" t="s">
        <v>29</v>
      </c>
      <c r="D224" t="s">
        <v>46</v>
      </c>
      <c r="E224" t="s">
        <v>14</v>
      </c>
      <c r="F224">
        <v>442.66699999999997</v>
      </c>
      <c r="G224" s="6">
        <v>442.66699999999997</v>
      </c>
      <c r="H224">
        <v>55.3</v>
      </c>
      <c r="I224">
        <v>11.8</v>
      </c>
      <c r="J224" t="s">
        <v>43</v>
      </c>
      <c r="K224" s="17">
        <v>9</v>
      </c>
      <c r="L224" t="s">
        <v>15</v>
      </c>
      <c r="M224">
        <v>2020</v>
      </c>
      <c r="N224">
        <v>3984.0029999999997</v>
      </c>
    </row>
    <row r="225" spans="2:14" x14ac:dyDescent="0.25">
      <c r="B225" s="5">
        <v>44530</v>
      </c>
      <c r="C225" t="s">
        <v>12</v>
      </c>
      <c r="D225" t="s">
        <v>46</v>
      </c>
      <c r="E225" t="s">
        <v>14</v>
      </c>
      <c r="F225">
        <v>882.67</v>
      </c>
      <c r="G225" s="6">
        <v>882.67</v>
      </c>
      <c r="H225">
        <v>54.1</v>
      </c>
      <c r="I225">
        <v>11.8</v>
      </c>
      <c r="J225" t="s">
        <v>43</v>
      </c>
      <c r="K225" s="17">
        <v>12.45</v>
      </c>
      <c r="L225" t="s">
        <v>15</v>
      </c>
      <c r="M225">
        <v>2021</v>
      </c>
      <c r="N225">
        <v>10989.241499999998</v>
      </c>
    </row>
    <row r="226" spans="2:14" x14ac:dyDescent="0.25">
      <c r="B226" s="5">
        <v>44530</v>
      </c>
      <c r="C226" t="s">
        <v>12</v>
      </c>
      <c r="D226" t="s">
        <v>46</v>
      </c>
      <c r="E226" t="s">
        <v>14</v>
      </c>
      <c r="F226">
        <v>900</v>
      </c>
      <c r="G226" s="6">
        <v>900</v>
      </c>
      <c r="H226">
        <v>55.4</v>
      </c>
      <c r="I226">
        <v>11.7</v>
      </c>
      <c r="J226" t="s">
        <v>43</v>
      </c>
      <c r="K226" s="17">
        <v>12.45</v>
      </c>
      <c r="L226" t="s">
        <v>15</v>
      </c>
      <c r="M226">
        <v>2021</v>
      </c>
      <c r="N226">
        <v>11205</v>
      </c>
    </row>
    <row r="227" spans="2:14" x14ac:dyDescent="0.25">
      <c r="B227" s="5">
        <v>44530</v>
      </c>
      <c r="C227" t="s">
        <v>12</v>
      </c>
      <c r="D227" t="s">
        <v>46</v>
      </c>
      <c r="E227" t="s">
        <v>14</v>
      </c>
      <c r="F227">
        <v>917.33</v>
      </c>
      <c r="G227" s="6">
        <v>217.33</v>
      </c>
      <c r="H227">
        <v>55.4</v>
      </c>
      <c r="I227">
        <v>11.3</v>
      </c>
      <c r="J227" t="s">
        <v>43</v>
      </c>
      <c r="K227" s="17">
        <v>12.45</v>
      </c>
      <c r="L227" t="s">
        <v>15</v>
      </c>
      <c r="M227">
        <v>2021</v>
      </c>
      <c r="N227">
        <v>2705.7584999999999</v>
      </c>
    </row>
    <row r="228" spans="2:14" x14ac:dyDescent="0.25">
      <c r="B228" s="5">
        <v>44530</v>
      </c>
      <c r="C228" t="s">
        <v>12</v>
      </c>
      <c r="G228" s="6">
        <v>700</v>
      </c>
      <c r="J228" t="s">
        <v>43</v>
      </c>
      <c r="K228" s="17">
        <v>12.98</v>
      </c>
      <c r="L228" t="s">
        <v>15</v>
      </c>
      <c r="M228">
        <v>2021</v>
      </c>
      <c r="N228">
        <v>9086</v>
      </c>
    </row>
    <row r="229" spans="2:14" x14ac:dyDescent="0.25">
      <c r="B229" s="5">
        <v>44530</v>
      </c>
      <c r="C229" t="s">
        <v>12</v>
      </c>
      <c r="D229" t="s">
        <v>46</v>
      </c>
      <c r="E229" t="s">
        <v>14</v>
      </c>
      <c r="F229">
        <v>922.67</v>
      </c>
      <c r="G229" s="6">
        <v>800</v>
      </c>
      <c r="H229">
        <v>54.3</v>
      </c>
      <c r="I229">
        <v>11</v>
      </c>
      <c r="J229" t="s">
        <v>43</v>
      </c>
      <c r="K229" s="17">
        <v>12.98</v>
      </c>
      <c r="L229" t="s">
        <v>15</v>
      </c>
      <c r="M229">
        <v>2021</v>
      </c>
      <c r="N229">
        <v>10384</v>
      </c>
    </row>
    <row r="230" spans="2:14" x14ac:dyDescent="0.25">
      <c r="B230" s="5">
        <v>44530</v>
      </c>
      <c r="C230" t="s">
        <v>12</v>
      </c>
      <c r="G230" s="6">
        <v>122.67</v>
      </c>
      <c r="J230" t="s">
        <v>43</v>
      </c>
      <c r="K230" s="17">
        <v>14.52</v>
      </c>
      <c r="L230" t="s">
        <v>15</v>
      </c>
      <c r="M230">
        <v>2021</v>
      </c>
      <c r="N230">
        <v>1781.1684</v>
      </c>
    </row>
    <row r="231" spans="2:14" x14ac:dyDescent="0.25">
      <c r="B231" s="5">
        <v>44531</v>
      </c>
      <c r="C231" t="s">
        <v>12</v>
      </c>
      <c r="D231" t="s">
        <v>46</v>
      </c>
      <c r="E231" t="s">
        <v>14</v>
      </c>
      <c r="F231">
        <v>905.67</v>
      </c>
      <c r="G231" s="6">
        <v>905.67</v>
      </c>
      <c r="H231">
        <v>54.5</v>
      </c>
      <c r="I231">
        <v>11.2</v>
      </c>
      <c r="J231" t="s">
        <v>43</v>
      </c>
      <c r="K231" s="17">
        <v>14.52</v>
      </c>
      <c r="L231" t="s">
        <v>15</v>
      </c>
      <c r="M231">
        <v>2021</v>
      </c>
      <c r="N231">
        <v>13150.328399999999</v>
      </c>
    </row>
    <row r="232" spans="2:14" x14ac:dyDescent="0.25">
      <c r="B232" s="5">
        <v>44531</v>
      </c>
      <c r="C232" t="s">
        <v>12</v>
      </c>
      <c r="D232" t="s">
        <v>46</v>
      </c>
      <c r="E232" t="s">
        <v>14</v>
      </c>
      <c r="F232">
        <v>907.33</v>
      </c>
      <c r="G232" s="6">
        <v>907.33</v>
      </c>
      <c r="H232">
        <v>54.9</v>
      </c>
      <c r="I232">
        <v>11.3</v>
      </c>
      <c r="J232" t="s">
        <v>43</v>
      </c>
      <c r="K232" s="17">
        <v>14.52</v>
      </c>
      <c r="L232" t="s">
        <v>15</v>
      </c>
      <c r="M232">
        <v>2021</v>
      </c>
      <c r="N232">
        <v>13174.4316</v>
      </c>
    </row>
    <row r="233" spans="2:14" x14ac:dyDescent="0.25">
      <c r="B233" s="5">
        <v>44532</v>
      </c>
      <c r="C233" t="s">
        <v>12</v>
      </c>
      <c r="D233" t="s">
        <v>46</v>
      </c>
      <c r="E233" t="s">
        <v>14</v>
      </c>
      <c r="F233">
        <v>797</v>
      </c>
      <c r="G233" s="6">
        <v>797</v>
      </c>
      <c r="H233">
        <v>54.9</v>
      </c>
      <c r="I233">
        <v>12.5</v>
      </c>
      <c r="J233" t="s">
        <v>43</v>
      </c>
      <c r="K233" s="17">
        <v>14.52</v>
      </c>
      <c r="L233" t="s">
        <v>15</v>
      </c>
      <c r="M233">
        <v>2021</v>
      </c>
      <c r="N233">
        <v>11572.44</v>
      </c>
    </row>
    <row r="234" spans="2:14" x14ac:dyDescent="0.25">
      <c r="B234" s="5">
        <v>44533</v>
      </c>
      <c r="C234" t="s">
        <v>12</v>
      </c>
      <c r="D234" t="s">
        <v>46</v>
      </c>
      <c r="E234" t="s">
        <v>14</v>
      </c>
      <c r="F234">
        <v>928.33</v>
      </c>
      <c r="G234" s="6">
        <v>579.33000000000004</v>
      </c>
      <c r="H234">
        <v>54.2</v>
      </c>
      <c r="I234">
        <v>12.7</v>
      </c>
      <c r="J234" t="s">
        <v>43</v>
      </c>
      <c r="K234" s="17">
        <v>14.52</v>
      </c>
      <c r="L234" t="s">
        <v>15</v>
      </c>
      <c r="M234">
        <v>2021</v>
      </c>
      <c r="N234">
        <v>8411.8716000000004</v>
      </c>
    </row>
    <row r="235" spans="2:14" x14ac:dyDescent="0.25">
      <c r="B235" s="5">
        <v>44533</v>
      </c>
      <c r="C235" t="s">
        <v>12</v>
      </c>
      <c r="G235" s="6">
        <v>342.34</v>
      </c>
      <c r="J235" t="s">
        <v>43</v>
      </c>
      <c r="K235" s="17">
        <v>13.04</v>
      </c>
      <c r="L235" t="s">
        <v>15</v>
      </c>
      <c r="M235">
        <v>2021</v>
      </c>
      <c r="N235">
        <v>4464.1135999999997</v>
      </c>
    </row>
    <row r="236" spans="2:14" x14ac:dyDescent="0.25">
      <c r="B236" s="5">
        <v>44545</v>
      </c>
      <c r="C236" t="s">
        <v>12</v>
      </c>
      <c r="D236" t="s">
        <v>46</v>
      </c>
      <c r="E236" t="s">
        <v>14</v>
      </c>
      <c r="F236">
        <v>266.33</v>
      </c>
      <c r="G236" s="6">
        <v>166.33</v>
      </c>
      <c r="H236">
        <v>53.9</v>
      </c>
      <c r="I236">
        <v>12.9</v>
      </c>
      <c r="J236" t="s">
        <v>43</v>
      </c>
      <c r="K236" s="17">
        <v>13.04</v>
      </c>
      <c r="L236" t="s">
        <v>15</v>
      </c>
      <c r="M236">
        <v>2021</v>
      </c>
      <c r="N236">
        <v>2168.9432000000002</v>
      </c>
    </row>
    <row r="237" spans="2:14" x14ac:dyDescent="0.25">
      <c r="B237" s="5">
        <v>44468</v>
      </c>
      <c r="C237" t="s">
        <v>12</v>
      </c>
      <c r="D237" t="s">
        <v>51</v>
      </c>
      <c r="E237" t="s">
        <v>52</v>
      </c>
      <c r="F237">
        <v>1193.57</v>
      </c>
      <c r="G237" s="6">
        <v>1193.57</v>
      </c>
      <c r="H237">
        <v>61.5</v>
      </c>
      <c r="I237">
        <v>14.8</v>
      </c>
      <c r="J237" t="s">
        <v>43</v>
      </c>
      <c r="K237" s="17">
        <v>5.14</v>
      </c>
      <c r="L237" t="s">
        <v>18</v>
      </c>
      <c r="M237">
        <v>2021</v>
      </c>
      <c r="N237">
        <v>6134.9497999999994</v>
      </c>
    </row>
    <row r="238" spans="2:14" x14ac:dyDescent="0.25">
      <c r="B238" s="5">
        <v>44469</v>
      </c>
      <c r="C238" t="s">
        <v>12</v>
      </c>
      <c r="D238" t="s">
        <v>51</v>
      </c>
      <c r="E238" t="s">
        <v>52</v>
      </c>
      <c r="F238">
        <v>1068.21</v>
      </c>
      <c r="G238" s="6">
        <v>1053.26</v>
      </c>
      <c r="H238">
        <v>62</v>
      </c>
      <c r="I238">
        <v>15.7</v>
      </c>
      <c r="J238" t="s">
        <v>43</v>
      </c>
      <c r="K238" s="17">
        <v>5.17</v>
      </c>
      <c r="L238" t="s">
        <v>18</v>
      </c>
      <c r="M238">
        <v>2021</v>
      </c>
      <c r="N238">
        <v>5445.3541999999998</v>
      </c>
    </row>
    <row r="239" spans="2:14" x14ac:dyDescent="0.25">
      <c r="B239" s="5">
        <v>44469</v>
      </c>
      <c r="C239" t="s">
        <v>12</v>
      </c>
      <c r="D239" t="s">
        <v>51</v>
      </c>
      <c r="E239" t="s">
        <v>52</v>
      </c>
      <c r="F239">
        <v>1054.6400000000001</v>
      </c>
      <c r="G239" s="6">
        <v>1047.26</v>
      </c>
      <c r="H239">
        <v>62.1</v>
      </c>
      <c r="I239">
        <v>15.4</v>
      </c>
      <c r="J239" t="s">
        <v>43</v>
      </c>
      <c r="K239" s="17">
        <v>5.17</v>
      </c>
      <c r="L239" t="s">
        <v>18</v>
      </c>
      <c r="M239">
        <v>2021</v>
      </c>
      <c r="N239">
        <v>5414.3342000000002</v>
      </c>
    </row>
    <row r="240" spans="2:14" x14ac:dyDescent="0.25">
      <c r="B240" s="5">
        <v>44452</v>
      </c>
      <c r="C240" t="s">
        <v>24</v>
      </c>
      <c r="D240" t="s">
        <v>46</v>
      </c>
      <c r="E240" t="s">
        <v>14</v>
      </c>
      <c r="F240">
        <v>1049.6400000000001</v>
      </c>
      <c r="G240" s="6">
        <v>968.82</v>
      </c>
      <c r="I240">
        <v>20.399999999999999</v>
      </c>
      <c r="J240" t="s">
        <v>43</v>
      </c>
      <c r="K240" s="17">
        <v>5.68</v>
      </c>
      <c r="L240" t="s">
        <v>19</v>
      </c>
      <c r="M240">
        <v>2021</v>
      </c>
      <c r="N240">
        <v>5502.8976000000002</v>
      </c>
    </row>
    <row r="241" spans="2:14" x14ac:dyDescent="0.25">
      <c r="B241" s="5">
        <v>44452</v>
      </c>
      <c r="C241" t="s">
        <v>24</v>
      </c>
      <c r="D241" t="s">
        <v>46</v>
      </c>
      <c r="E241" t="s">
        <v>14</v>
      </c>
      <c r="F241">
        <v>1068.21</v>
      </c>
      <c r="G241" s="6">
        <v>956.05</v>
      </c>
      <c r="I241">
        <v>22.2</v>
      </c>
      <c r="J241" t="s">
        <v>43</v>
      </c>
      <c r="K241" s="17">
        <v>5.68</v>
      </c>
      <c r="L241" t="s">
        <v>19</v>
      </c>
      <c r="M241">
        <v>2021</v>
      </c>
      <c r="N241">
        <v>5430.3639999999996</v>
      </c>
    </row>
    <row r="242" spans="2:14" x14ac:dyDescent="0.25">
      <c r="B242" s="5">
        <v>44452</v>
      </c>
      <c r="C242" t="s">
        <v>24</v>
      </c>
      <c r="D242" t="s">
        <v>46</v>
      </c>
      <c r="E242" t="s">
        <v>14</v>
      </c>
      <c r="F242">
        <v>847.5</v>
      </c>
      <c r="G242" s="6">
        <v>758.51</v>
      </c>
      <c r="I242">
        <v>22.4</v>
      </c>
      <c r="J242" t="s">
        <v>43</v>
      </c>
      <c r="K242" s="17">
        <v>5.68</v>
      </c>
      <c r="L242" t="s">
        <v>19</v>
      </c>
      <c r="M242">
        <v>2021</v>
      </c>
      <c r="N242">
        <v>4308.3368</v>
      </c>
    </row>
    <row r="243" spans="2:14" x14ac:dyDescent="0.25">
      <c r="B243" s="5">
        <v>44453</v>
      </c>
      <c r="C243" t="s">
        <v>24</v>
      </c>
      <c r="D243" t="s">
        <v>46</v>
      </c>
      <c r="E243" t="s">
        <v>14</v>
      </c>
      <c r="F243">
        <v>963.21</v>
      </c>
      <c r="G243" s="6">
        <v>889.04</v>
      </c>
      <c r="I243">
        <v>20.5</v>
      </c>
      <c r="J243" t="s">
        <v>43</v>
      </c>
      <c r="K243" s="17">
        <v>5.68</v>
      </c>
      <c r="L243" t="s">
        <v>19</v>
      </c>
      <c r="M243">
        <v>2021</v>
      </c>
      <c r="N243">
        <v>5049.7471999999998</v>
      </c>
    </row>
    <row r="244" spans="2:14" x14ac:dyDescent="0.25">
      <c r="B244" s="5">
        <v>44453</v>
      </c>
      <c r="C244" t="s">
        <v>24</v>
      </c>
      <c r="D244" t="s">
        <v>46</v>
      </c>
      <c r="E244" t="s">
        <v>14</v>
      </c>
      <c r="F244">
        <v>938.57</v>
      </c>
      <c r="G244" s="6">
        <v>521.71</v>
      </c>
      <c r="I244">
        <v>20</v>
      </c>
      <c r="J244" t="s">
        <v>43</v>
      </c>
      <c r="K244" s="17">
        <v>5.68</v>
      </c>
      <c r="L244" t="s">
        <v>19</v>
      </c>
      <c r="M244">
        <v>2021</v>
      </c>
      <c r="N244">
        <v>2963.3128000000002</v>
      </c>
    </row>
    <row r="245" spans="2:14" x14ac:dyDescent="0.25">
      <c r="B245" s="5">
        <v>44453</v>
      </c>
      <c r="C245" t="s">
        <v>24</v>
      </c>
      <c r="D245" t="s">
        <v>46</v>
      </c>
      <c r="E245" t="s">
        <v>14</v>
      </c>
      <c r="G245" s="6">
        <v>351.16</v>
      </c>
      <c r="I245">
        <v>20</v>
      </c>
      <c r="J245" t="s">
        <v>43</v>
      </c>
      <c r="K245" s="17">
        <v>5</v>
      </c>
      <c r="L245" t="s">
        <v>19</v>
      </c>
      <c r="M245">
        <v>2021</v>
      </c>
      <c r="N245">
        <v>1755.8000000000002</v>
      </c>
    </row>
    <row r="246" spans="2:14" x14ac:dyDescent="0.25">
      <c r="B246" s="5">
        <v>44459</v>
      </c>
      <c r="C246" t="s">
        <v>24</v>
      </c>
      <c r="D246" t="s">
        <v>46</v>
      </c>
      <c r="E246" t="s">
        <v>53</v>
      </c>
      <c r="F246">
        <v>1018.21</v>
      </c>
      <c r="G246" s="6">
        <v>939.81</v>
      </c>
      <c r="I246">
        <v>20.2</v>
      </c>
      <c r="J246" t="s">
        <v>43</v>
      </c>
      <c r="K246" s="17">
        <v>5</v>
      </c>
      <c r="L246" t="s">
        <v>19</v>
      </c>
      <c r="M246">
        <v>2021</v>
      </c>
      <c r="N246">
        <v>4699.0499999999993</v>
      </c>
    </row>
    <row r="247" spans="2:14" x14ac:dyDescent="0.25">
      <c r="B247" s="5">
        <v>44459</v>
      </c>
      <c r="C247" t="s">
        <v>24</v>
      </c>
      <c r="D247" t="s">
        <v>46</v>
      </c>
      <c r="E247" t="s">
        <v>53</v>
      </c>
      <c r="F247">
        <v>1155.3599999999999</v>
      </c>
      <c r="G247" s="6">
        <v>1074.48</v>
      </c>
      <c r="I247">
        <v>20</v>
      </c>
      <c r="J247" t="s">
        <v>43</v>
      </c>
      <c r="K247" s="17">
        <v>5</v>
      </c>
      <c r="L247" t="s">
        <v>19</v>
      </c>
      <c r="M247">
        <v>2021</v>
      </c>
      <c r="N247">
        <v>5372.4</v>
      </c>
    </row>
    <row r="248" spans="2:14" x14ac:dyDescent="0.25">
      <c r="B248" s="5">
        <v>44459</v>
      </c>
      <c r="C248" t="s">
        <v>24</v>
      </c>
      <c r="D248" t="s">
        <v>46</v>
      </c>
      <c r="E248" t="s">
        <v>53</v>
      </c>
      <c r="F248">
        <v>1082.5</v>
      </c>
      <c r="G248" s="6">
        <v>1006.72</v>
      </c>
      <c r="I248">
        <v>20</v>
      </c>
      <c r="J248" t="s">
        <v>43</v>
      </c>
      <c r="K248" s="17">
        <v>5</v>
      </c>
      <c r="L248" t="s">
        <v>19</v>
      </c>
      <c r="M248">
        <v>2021</v>
      </c>
      <c r="N248">
        <v>5033.6000000000004</v>
      </c>
    </row>
    <row r="249" spans="2:14" x14ac:dyDescent="0.25">
      <c r="B249" s="5">
        <v>44459</v>
      </c>
      <c r="C249" t="s">
        <v>24</v>
      </c>
      <c r="D249" t="s">
        <v>46</v>
      </c>
      <c r="E249" t="s">
        <v>53</v>
      </c>
      <c r="F249">
        <v>1082.8599999999999</v>
      </c>
      <c r="G249" s="6">
        <v>627.83000000000004</v>
      </c>
      <c r="I249">
        <v>20.399999999999999</v>
      </c>
      <c r="J249" t="s">
        <v>43</v>
      </c>
      <c r="K249" s="17">
        <v>5</v>
      </c>
      <c r="L249" t="s">
        <v>19</v>
      </c>
      <c r="M249">
        <v>2021</v>
      </c>
      <c r="N249">
        <v>3139.15</v>
      </c>
    </row>
    <row r="250" spans="2:14" x14ac:dyDescent="0.25">
      <c r="B250" s="5">
        <v>44459</v>
      </c>
      <c r="C250" t="s">
        <v>24</v>
      </c>
      <c r="D250" t="s">
        <v>46</v>
      </c>
      <c r="E250" t="s">
        <v>53</v>
      </c>
      <c r="G250" s="6">
        <v>371.65</v>
      </c>
      <c r="I250">
        <v>20.399999999999999</v>
      </c>
      <c r="J250" t="s">
        <v>43</v>
      </c>
      <c r="K250" s="17">
        <v>5.98</v>
      </c>
      <c r="L250" t="s">
        <v>19</v>
      </c>
      <c r="M250">
        <v>2021</v>
      </c>
      <c r="N250">
        <v>2222.4670000000001</v>
      </c>
    </row>
    <row r="251" spans="2:14" x14ac:dyDescent="0.25">
      <c r="B251" s="5">
        <v>44459</v>
      </c>
      <c r="C251" t="s">
        <v>24</v>
      </c>
      <c r="D251" t="s">
        <v>46</v>
      </c>
      <c r="E251" t="s">
        <v>53</v>
      </c>
      <c r="F251">
        <v>1116.43</v>
      </c>
      <c r="G251" s="6">
        <v>1038.28</v>
      </c>
      <c r="I251">
        <v>19.899999999999999</v>
      </c>
      <c r="J251" t="s">
        <v>43</v>
      </c>
      <c r="K251" s="17">
        <v>5.98</v>
      </c>
      <c r="L251" t="s">
        <v>19</v>
      </c>
      <c r="M251">
        <v>2021</v>
      </c>
      <c r="N251">
        <v>6208.9144000000006</v>
      </c>
    </row>
    <row r="252" spans="2:14" x14ac:dyDescent="0.25">
      <c r="B252" s="5">
        <v>44459</v>
      </c>
      <c r="C252" t="s">
        <v>24</v>
      </c>
      <c r="D252" t="s">
        <v>46</v>
      </c>
      <c r="E252" t="s">
        <v>53</v>
      </c>
      <c r="F252">
        <v>1135.71</v>
      </c>
      <c r="G252" s="6">
        <v>1048.26</v>
      </c>
      <c r="I252">
        <v>20.3</v>
      </c>
      <c r="J252" t="s">
        <v>43</v>
      </c>
      <c r="K252" s="17">
        <v>5.98</v>
      </c>
      <c r="L252" t="s">
        <v>19</v>
      </c>
      <c r="M252">
        <v>2021</v>
      </c>
      <c r="N252">
        <v>6268.5948000000008</v>
      </c>
    </row>
    <row r="253" spans="2:14" x14ac:dyDescent="0.25">
      <c r="B253" s="5">
        <v>44459</v>
      </c>
      <c r="C253" t="s">
        <v>24</v>
      </c>
      <c r="D253" t="s">
        <v>46</v>
      </c>
      <c r="E253" t="s">
        <v>53</v>
      </c>
      <c r="F253">
        <v>1010.36</v>
      </c>
      <c r="G253" s="6">
        <v>939.63</v>
      </c>
      <c r="I253">
        <v>20</v>
      </c>
      <c r="J253" t="s">
        <v>43</v>
      </c>
      <c r="K253" s="17">
        <v>5.98</v>
      </c>
      <c r="L253" t="s">
        <v>19</v>
      </c>
      <c r="M253">
        <v>2021</v>
      </c>
      <c r="N253">
        <v>5618.9874</v>
      </c>
    </row>
    <row r="254" spans="2:14" x14ac:dyDescent="0.25">
      <c r="B254" s="5">
        <v>44459</v>
      </c>
      <c r="C254" t="s">
        <v>24</v>
      </c>
      <c r="D254" t="s">
        <v>46</v>
      </c>
      <c r="E254" t="s">
        <v>52</v>
      </c>
      <c r="F254">
        <v>1093.57</v>
      </c>
      <c r="G254" s="6">
        <v>1039.99</v>
      </c>
      <c r="I254">
        <v>18.5</v>
      </c>
      <c r="J254" t="s">
        <v>43</v>
      </c>
      <c r="K254" s="17">
        <v>5.98</v>
      </c>
      <c r="L254" t="s">
        <v>19</v>
      </c>
      <c r="M254">
        <v>2021</v>
      </c>
      <c r="N254">
        <v>6219.1402000000007</v>
      </c>
    </row>
    <row r="255" spans="2:14" x14ac:dyDescent="0.25">
      <c r="B255" s="5">
        <v>44460</v>
      </c>
      <c r="C255" t="s">
        <v>24</v>
      </c>
      <c r="D255" t="s">
        <v>46</v>
      </c>
      <c r="E255" t="s">
        <v>53</v>
      </c>
      <c r="F255">
        <v>1167.5</v>
      </c>
      <c r="G255" s="6">
        <v>1093.95</v>
      </c>
      <c r="I255">
        <v>19.399999999999999</v>
      </c>
      <c r="J255" t="s">
        <v>43</v>
      </c>
      <c r="K255" s="17">
        <v>5.98</v>
      </c>
      <c r="L255" t="s">
        <v>19</v>
      </c>
      <c r="M255">
        <v>2021</v>
      </c>
      <c r="N255">
        <v>6541.8210000000008</v>
      </c>
    </row>
    <row r="256" spans="2:14" x14ac:dyDescent="0.25">
      <c r="B256" s="5">
        <v>44460</v>
      </c>
      <c r="C256" t="s">
        <v>24</v>
      </c>
      <c r="D256" t="s">
        <v>46</v>
      </c>
      <c r="E256" t="s">
        <v>52</v>
      </c>
      <c r="F256">
        <v>1053.21</v>
      </c>
      <c r="G256" s="6">
        <v>468.24</v>
      </c>
      <c r="I256">
        <v>19</v>
      </c>
      <c r="J256" t="s">
        <v>43</v>
      </c>
      <c r="K256" s="17">
        <v>5.98</v>
      </c>
      <c r="L256" t="s">
        <v>19</v>
      </c>
      <c r="M256">
        <v>2021</v>
      </c>
      <c r="N256">
        <v>2800.0752000000002</v>
      </c>
    </row>
    <row r="257" spans="2:14" x14ac:dyDescent="0.25">
      <c r="B257" s="5">
        <v>44460</v>
      </c>
      <c r="C257" t="s">
        <v>24</v>
      </c>
      <c r="D257" t="s">
        <v>46</v>
      </c>
      <c r="E257" t="s">
        <v>52</v>
      </c>
      <c r="G257" s="6">
        <v>525.99</v>
      </c>
      <c r="I257">
        <v>19</v>
      </c>
      <c r="J257" t="s">
        <v>43</v>
      </c>
      <c r="K257" s="17">
        <v>4.97</v>
      </c>
      <c r="L257" t="s">
        <v>19</v>
      </c>
      <c r="M257">
        <v>2021</v>
      </c>
      <c r="N257">
        <v>2614.1702999999998</v>
      </c>
    </row>
    <row r="258" spans="2:14" x14ac:dyDescent="0.25">
      <c r="B258" s="5">
        <v>44463</v>
      </c>
      <c r="C258" t="s">
        <v>24</v>
      </c>
      <c r="D258" t="s">
        <v>46</v>
      </c>
      <c r="E258" t="s">
        <v>52</v>
      </c>
      <c r="F258">
        <v>983.57</v>
      </c>
      <c r="G258" s="6">
        <v>935.38</v>
      </c>
      <c r="I258">
        <v>18.2</v>
      </c>
      <c r="J258" t="s">
        <v>43</v>
      </c>
      <c r="K258" s="17">
        <v>5.09</v>
      </c>
      <c r="L258" t="s">
        <v>19</v>
      </c>
      <c r="M258">
        <v>2021</v>
      </c>
      <c r="N258">
        <v>4761.0842000000002</v>
      </c>
    </row>
    <row r="259" spans="2:14" x14ac:dyDescent="0.25">
      <c r="B259" s="5">
        <v>44464</v>
      </c>
      <c r="C259" t="s">
        <v>24</v>
      </c>
      <c r="D259" t="s">
        <v>46</v>
      </c>
      <c r="E259" t="s">
        <v>52</v>
      </c>
      <c r="F259">
        <v>1247.5</v>
      </c>
      <c r="G259" s="6">
        <v>1186.3699999999999</v>
      </c>
      <c r="I259">
        <v>18.3</v>
      </c>
      <c r="J259" t="s">
        <v>43</v>
      </c>
      <c r="K259" s="17">
        <v>5.09</v>
      </c>
      <c r="L259" t="s">
        <v>19</v>
      </c>
      <c r="M259">
        <v>2021</v>
      </c>
      <c r="N259">
        <v>6038.6232999999993</v>
      </c>
    </row>
    <row r="260" spans="2:14" x14ac:dyDescent="0.25">
      <c r="B260" s="5">
        <v>44448</v>
      </c>
      <c r="C260" t="s">
        <v>26</v>
      </c>
      <c r="D260" t="s">
        <v>46</v>
      </c>
      <c r="E260" t="s">
        <v>14</v>
      </c>
      <c r="F260">
        <v>809.67</v>
      </c>
      <c r="G260" s="6">
        <v>809.67</v>
      </c>
      <c r="H260">
        <v>56.2</v>
      </c>
      <c r="I260">
        <v>12.7</v>
      </c>
      <c r="L260" t="s">
        <v>15</v>
      </c>
      <c r="M260">
        <v>2021</v>
      </c>
      <c r="N260">
        <v>0</v>
      </c>
    </row>
    <row r="261" spans="2:14" x14ac:dyDescent="0.25">
      <c r="B261" s="5">
        <v>44448</v>
      </c>
      <c r="C261" t="s">
        <v>26</v>
      </c>
      <c r="D261" t="s">
        <v>46</v>
      </c>
      <c r="E261" t="s">
        <v>14</v>
      </c>
      <c r="F261">
        <v>827.33</v>
      </c>
      <c r="G261" s="6">
        <v>827.33</v>
      </c>
      <c r="H261">
        <v>56.4</v>
      </c>
      <c r="I261">
        <v>11.8</v>
      </c>
      <c r="L261" t="s">
        <v>15</v>
      </c>
      <c r="M261">
        <v>2021</v>
      </c>
      <c r="N261">
        <v>0</v>
      </c>
    </row>
    <row r="262" spans="2:14" x14ac:dyDescent="0.25">
      <c r="B262" s="5">
        <v>44448</v>
      </c>
      <c r="C262" t="s">
        <v>26</v>
      </c>
      <c r="D262" t="s">
        <v>46</v>
      </c>
      <c r="E262" t="s">
        <v>14</v>
      </c>
      <c r="F262">
        <v>828</v>
      </c>
      <c r="G262" s="6">
        <v>828</v>
      </c>
      <c r="H262">
        <v>56.3</v>
      </c>
      <c r="I262">
        <v>11.3</v>
      </c>
      <c r="L262" t="s">
        <v>15</v>
      </c>
      <c r="M262">
        <v>2021</v>
      </c>
      <c r="N262">
        <v>0</v>
      </c>
    </row>
    <row r="263" spans="2:14" x14ac:dyDescent="0.25">
      <c r="B263" s="5">
        <v>44448</v>
      </c>
      <c r="C263" t="s">
        <v>26</v>
      </c>
      <c r="D263" t="s">
        <v>46</v>
      </c>
      <c r="E263" t="s">
        <v>14</v>
      </c>
      <c r="F263">
        <v>884.33</v>
      </c>
      <c r="G263" s="6">
        <v>884.33</v>
      </c>
      <c r="H263">
        <v>56.7</v>
      </c>
      <c r="I263">
        <v>10.7</v>
      </c>
      <c r="L263" t="s">
        <v>15</v>
      </c>
      <c r="M263">
        <v>2021</v>
      </c>
      <c r="N263">
        <v>0</v>
      </c>
    </row>
    <row r="264" spans="2:14" x14ac:dyDescent="0.25">
      <c r="B264" s="5">
        <v>44449</v>
      </c>
      <c r="C264" t="s">
        <v>25</v>
      </c>
      <c r="D264" t="s">
        <v>46</v>
      </c>
      <c r="E264" t="s">
        <v>14</v>
      </c>
      <c r="F264">
        <v>949.67</v>
      </c>
      <c r="G264" s="6">
        <v>949.67</v>
      </c>
      <c r="H264">
        <v>57.3</v>
      </c>
      <c r="I264">
        <v>12</v>
      </c>
      <c r="L264" t="s">
        <v>15</v>
      </c>
      <c r="M264">
        <v>2021</v>
      </c>
      <c r="N264">
        <v>0</v>
      </c>
    </row>
    <row r="265" spans="2:14" x14ac:dyDescent="0.25">
      <c r="B265" s="5">
        <v>44452</v>
      </c>
      <c r="C265" t="s">
        <v>25</v>
      </c>
      <c r="D265" t="s">
        <v>46</v>
      </c>
      <c r="E265" t="s">
        <v>14</v>
      </c>
      <c r="F265">
        <v>915.67</v>
      </c>
      <c r="G265" s="6">
        <v>915.67</v>
      </c>
      <c r="H265">
        <v>55.8</v>
      </c>
      <c r="I265">
        <v>12.5</v>
      </c>
      <c r="L265" t="s">
        <v>15</v>
      </c>
      <c r="M265">
        <v>2021</v>
      </c>
      <c r="N265">
        <v>0</v>
      </c>
    </row>
    <row r="266" spans="2:14" x14ac:dyDescent="0.25">
      <c r="B266" s="5">
        <v>44452</v>
      </c>
      <c r="C266" t="s">
        <v>25</v>
      </c>
      <c r="D266" t="s">
        <v>46</v>
      </c>
      <c r="E266" t="s">
        <v>14</v>
      </c>
      <c r="G266" s="6">
        <v>387.02</v>
      </c>
      <c r="J266">
        <v>12.56</v>
      </c>
      <c r="L266" t="s">
        <v>15</v>
      </c>
      <c r="M266">
        <v>2021</v>
      </c>
      <c r="N266">
        <v>0</v>
      </c>
    </row>
    <row r="267" spans="2:14" x14ac:dyDescent="0.25">
      <c r="B267" s="5">
        <v>44480</v>
      </c>
      <c r="C267" t="s">
        <v>22</v>
      </c>
      <c r="D267" t="s">
        <v>13</v>
      </c>
      <c r="E267" t="s">
        <v>14</v>
      </c>
      <c r="F267">
        <v>1000</v>
      </c>
      <c r="G267" s="6">
        <v>1000</v>
      </c>
      <c r="H267">
        <v>58.4</v>
      </c>
      <c r="I267">
        <v>14.5</v>
      </c>
      <c r="J267" t="s">
        <v>43</v>
      </c>
      <c r="K267" s="17">
        <v>5.23</v>
      </c>
      <c r="L267" t="s">
        <v>18</v>
      </c>
      <c r="M267">
        <v>2021</v>
      </c>
      <c r="N267">
        <v>5230</v>
      </c>
    </row>
    <row r="268" spans="2:14" x14ac:dyDescent="0.25">
      <c r="B268" s="5">
        <v>44480</v>
      </c>
      <c r="C268" t="s">
        <v>22</v>
      </c>
      <c r="D268" t="s">
        <v>13</v>
      </c>
      <c r="E268" t="s">
        <v>52</v>
      </c>
      <c r="F268">
        <v>1073.93</v>
      </c>
      <c r="G268" s="6">
        <v>1073.93</v>
      </c>
      <c r="H268">
        <v>59</v>
      </c>
      <c r="I268">
        <v>14.4</v>
      </c>
      <c r="J268" t="s">
        <v>43</v>
      </c>
      <c r="K268" s="17">
        <v>5.23</v>
      </c>
      <c r="L268" t="s">
        <v>18</v>
      </c>
      <c r="M268">
        <v>2021</v>
      </c>
      <c r="N268">
        <v>5616.6539000000012</v>
      </c>
    </row>
    <row r="269" spans="2:14" x14ac:dyDescent="0.25">
      <c r="B269" s="5">
        <v>44480</v>
      </c>
      <c r="C269" t="s">
        <v>22</v>
      </c>
      <c r="D269" t="s">
        <v>13</v>
      </c>
      <c r="E269" t="s">
        <v>14</v>
      </c>
      <c r="F269">
        <v>1089.6400000000001</v>
      </c>
      <c r="G269" s="6">
        <v>1089.6400000000001</v>
      </c>
      <c r="H269">
        <v>59.1</v>
      </c>
      <c r="I269">
        <v>14.3</v>
      </c>
      <c r="J269" t="s">
        <v>43</v>
      </c>
      <c r="K269" s="17">
        <v>5.23</v>
      </c>
      <c r="L269" t="s">
        <v>18</v>
      </c>
      <c r="M269">
        <v>2021</v>
      </c>
      <c r="N269">
        <v>5698.8172000000013</v>
      </c>
    </row>
    <row r="270" spans="2:14" x14ac:dyDescent="0.25">
      <c r="B270" s="5">
        <v>44480</v>
      </c>
      <c r="C270" t="s">
        <v>22</v>
      </c>
      <c r="D270" t="s">
        <v>13</v>
      </c>
      <c r="E270" t="s">
        <v>14</v>
      </c>
      <c r="F270">
        <v>975.36</v>
      </c>
      <c r="G270" s="6">
        <v>975.36</v>
      </c>
      <c r="H270">
        <v>58.8</v>
      </c>
      <c r="I270">
        <v>14.3</v>
      </c>
      <c r="J270" t="s">
        <v>43</v>
      </c>
      <c r="K270" s="17">
        <v>5.23</v>
      </c>
      <c r="L270" t="s">
        <v>18</v>
      </c>
      <c r="M270">
        <v>2021</v>
      </c>
      <c r="N270">
        <v>5101.1328000000003</v>
      </c>
    </row>
    <row r="271" spans="2:14" x14ac:dyDescent="0.25">
      <c r="B271" s="5">
        <v>44480</v>
      </c>
      <c r="C271" t="s">
        <v>22</v>
      </c>
      <c r="D271" t="s">
        <v>13</v>
      </c>
      <c r="E271" t="s">
        <v>14</v>
      </c>
      <c r="F271">
        <v>173.21</v>
      </c>
      <c r="G271" s="6">
        <v>173.21</v>
      </c>
      <c r="H271">
        <v>59</v>
      </c>
      <c r="I271">
        <v>14.3</v>
      </c>
      <c r="J271" t="s">
        <v>43</v>
      </c>
      <c r="K271" s="17">
        <v>5.23</v>
      </c>
      <c r="L271" t="s">
        <v>18</v>
      </c>
      <c r="M271">
        <v>2021</v>
      </c>
      <c r="N271">
        <v>905.88830000000007</v>
      </c>
    </row>
    <row r="272" spans="2:14" x14ac:dyDescent="0.25">
      <c r="B272" s="5">
        <v>44573</v>
      </c>
      <c r="C272" t="s">
        <v>21</v>
      </c>
      <c r="D272" t="s">
        <v>46</v>
      </c>
      <c r="E272" t="s">
        <v>14</v>
      </c>
      <c r="F272">
        <v>965</v>
      </c>
      <c r="G272" s="6">
        <v>944.73</v>
      </c>
      <c r="H272">
        <v>16</v>
      </c>
      <c r="I272">
        <v>61</v>
      </c>
      <c r="J272" t="s">
        <v>43</v>
      </c>
      <c r="K272" s="17">
        <v>6.5</v>
      </c>
      <c r="L272" t="s">
        <v>19</v>
      </c>
      <c r="M272">
        <v>2021</v>
      </c>
      <c r="N272">
        <v>6140.7449999999999</v>
      </c>
    </row>
    <row r="273" spans="2:14" x14ac:dyDescent="0.25">
      <c r="B273" s="5">
        <v>44610</v>
      </c>
      <c r="C273" t="s">
        <v>21</v>
      </c>
      <c r="D273" t="s">
        <v>46</v>
      </c>
      <c r="E273" t="s">
        <v>14</v>
      </c>
      <c r="F273">
        <v>864.29</v>
      </c>
      <c r="G273" s="6">
        <v>846.14</v>
      </c>
      <c r="H273">
        <v>15.7</v>
      </c>
      <c r="I273">
        <v>60.2</v>
      </c>
      <c r="J273" t="s">
        <v>43</v>
      </c>
      <c r="K273" s="17">
        <v>6.5</v>
      </c>
      <c r="L273" t="s">
        <v>19</v>
      </c>
      <c r="M273">
        <v>2021</v>
      </c>
      <c r="N273">
        <v>5499.91</v>
      </c>
    </row>
    <row r="274" spans="2:14" x14ac:dyDescent="0.25">
      <c r="B274" s="5">
        <v>44614</v>
      </c>
      <c r="C274" t="s">
        <v>21</v>
      </c>
      <c r="D274" t="s">
        <v>46</v>
      </c>
      <c r="E274" t="s">
        <v>52</v>
      </c>
      <c r="F274">
        <v>929.29</v>
      </c>
      <c r="G274" s="6">
        <v>209.13</v>
      </c>
      <c r="H274">
        <v>15.8</v>
      </c>
      <c r="I274">
        <v>57.4</v>
      </c>
      <c r="J274" t="s">
        <v>43</v>
      </c>
      <c r="K274" s="17">
        <v>6.5</v>
      </c>
      <c r="L274" t="s">
        <v>19</v>
      </c>
      <c r="M274">
        <v>2021</v>
      </c>
      <c r="N274">
        <v>1359.345</v>
      </c>
    </row>
    <row r="275" spans="2:14" x14ac:dyDescent="0.25">
      <c r="B275" s="5">
        <v>44614</v>
      </c>
      <c r="C275" t="s">
        <v>21</v>
      </c>
      <c r="G275" s="6">
        <v>700.64</v>
      </c>
      <c r="J275" t="s">
        <v>43</v>
      </c>
      <c r="K275" s="17">
        <v>6.35</v>
      </c>
      <c r="L275" t="s">
        <v>19</v>
      </c>
      <c r="M275">
        <v>2021</v>
      </c>
      <c r="N275">
        <v>4449.0639999999994</v>
      </c>
    </row>
    <row r="276" spans="2:14" x14ac:dyDescent="0.25">
      <c r="B276" s="5">
        <v>44615</v>
      </c>
      <c r="C276" t="s">
        <v>21</v>
      </c>
      <c r="D276" t="s">
        <v>46</v>
      </c>
      <c r="E276" t="s">
        <v>14</v>
      </c>
      <c r="F276">
        <v>978.57</v>
      </c>
      <c r="G276" s="6">
        <v>799.36</v>
      </c>
      <c r="H276">
        <v>16</v>
      </c>
      <c r="I276">
        <v>61.7</v>
      </c>
      <c r="J276" t="s">
        <v>43</v>
      </c>
      <c r="K276" s="17">
        <v>6.35</v>
      </c>
      <c r="L276" t="s">
        <v>19</v>
      </c>
      <c r="M276">
        <v>2021</v>
      </c>
      <c r="N276">
        <v>5075.9359999999997</v>
      </c>
    </row>
    <row r="277" spans="2:14" x14ac:dyDescent="0.25">
      <c r="B277" s="5">
        <v>44615</v>
      </c>
      <c r="C277" t="s">
        <v>21</v>
      </c>
      <c r="G277" s="6">
        <v>158.66</v>
      </c>
      <c r="J277" t="s">
        <v>43</v>
      </c>
      <c r="K277" s="17">
        <v>8.0399999999999991</v>
      </c>
      <c r="L277" t="s">
        <v>19</v>
      </c>
      <c r="M277">
        <v>2021</v>
      </c>
      <c r="N277">
        <v>1275.6263999999999</v>
      </c>
    </row>
    <row r="278" spans="2:14" x14ac:dyDescent="0.25">
      <c r="B278" s="5">
        <v>44258</v>
      </c>
      <c r="C278" t="s">
        <v>21</v>
      </c>
      <c r="D278" t="s">
        <v>54</v>
      </c>
      <c r="E278" t="s">
        <v>55</v>
      </c>
      <c r="F278">
        <v>975.71</v>
      </c>
      <c r="G278" s="6">
        <v>975.71</v>
      </c>
      <c r="H278">
        <v>15.9</v>
      </c>
      <c r="I278">
        <v>60.7</v>
      </c>
      <c r="J278" t="s">
        <v>43</v>
      </c>
      <c r="K278" s="17">
        <v>7.6</v>
      </c>
      <c r="L278" t="s">
        <v>19</v>
      </c>
      <c r="M278">
        <v>2021</v>
      </c>
      <c r="N278">
        <v>7415.3959999999997</v>
      </c>
    </row>
    <row r="279" spans="2:14" x14ac:dyDescent="0.25">
      <c r="B279" s="5">
        <v>44258</v>
      </c>
      <c r="C279" t="s">
        <v>21</v>
      </c>
      <c r="D279" t="s">
        <v>54</v>
      </c>
      <c r="E279" t="s">
        <v>55</v>
      </c>
      <c r="F279">
        <v>1052.1400000000001</v>
      </c>
      <c r="G279" s="6">
        <v>1052.1400000000001</v>
      </c>
      <c r="H279">
        <v>15.8</v>
      </c>
      <c r="I279">
        <v>60.6</v>
      </c>
      <c r="J279" t="s">
        <v>43</v>
      </c>
      <c r="K279" s="17">
        <v>7.6</v>
      </c>
      <c r="L279" t="s">
        <v>19</v>
      </c>
      <c r="M279">
        <v>2021</v>
      </c>
      <c r="N279">
        <v>7996.2640000000001</v>
      </c>
    </row>
    <row r="280" spans="2:14" x14ac:dyDescent="0.25">
      <c r="B280" s="5">
        <v>44258</v>
      </c>
      <c r="C280" t="s">
        <v>21</v>
      </c>
      <c r="D280" t="s">
        <v>54</v>
      </c>
      <c r="E280" t="s">
        <v>14</v>
      </c>
      <c r="F280">
        <v>984.64</v>
      </c>
      <c r="G280" s="6">
        <v>984.64</v>
      </c>
      <c r="H280">
        <v>15.8</v>
      </c>
      <c r="I280">
        <v>61</v>
      </c>
      <c r="J280" t="s">
        <v>43</v>
      </c>
      <c r="K280" s="17">
        <v>7.6</v>
      </c>
      <c r="L280" t="s">
        <v>19</v>
      </c>
      <c r="M280">
        <v>2021</v>
      </c>
      <c r="N280">
        <v>7483.2639999999992</v>
      </c>
    </row>
    <row r="281" spans="2:14" x14ac:dyDescent="0.25">
      <c r="B281" s="5">
        <v>44258</v>
      </c>
      <c r="C281" t="s">
        <v>21</v>
      </c>
      <c r="D281" t="s">
        <v>54</v>
      </c>
      <c r="E281" t="s">
        <v>55</v>
      </c>
      <c r="F281">
        <v>975.71</v>
      </c>
      <c r="G281" s="6">
        <v>975.71</v>
      </c>
      <c r="H281">
        <v>16</v>
      </c>
      <c r="I281">
        <v>60.7</v>
      </c>
      <c r="J281" t="s">
        <v>43</v>
      </c>
      <c r="K281" s="17">
        <v>7.6</v>
      </c>
      <c r="L281" t="s">
        <v>19</v>
      </c>
      <c r="M281">
        <v>2021</v>
      </c>
      <c r="N281">
        <v>7415.3959999999997</v>
      </c>
    </row>
    <row r="282" spans="2:14" x14ac:dyDescent="0.25">
      <c r="B282" s="5">
        <v>44258</v>
      </c>
      <c r="C282" t="s">
        <v>21</v>
      </c>
      <c r="D282" t="s">
        <v>54</v>
      </c>
      <c r="E282" t="s">
        <v>55</v>
      </c>
      <c r="F282">
        <v>1152.1400000000001</v>
      </c>
      <c r="G282" s="6">
        <v>1152.1400000000001</v>
      </c>
      <c r="H282">
        <v>16</v>
      </c>
      <c r="I282">
        <v>60.7</v>
      </c>
      <c r="J282" t="s">
        <v>43</v>
      </c>
      <c r="K282" s="17">
        <v>7.6</v>
      </c>
      <c r="L282" t="s">
        <v>19</v>
      </c>
      <c r="M282">
        <v>2021</v>
      </c>
      <c r="N282">
        <v>8756.264000000001</v>
      </c>
    </row>
    <row r="283" spans="2:14" x14ac:dyDescent="0.25">
      <c r="B283" s="5">
        <v>44624</v>
      </c>
      <c r="C283" t="s">
        <v>21</v>
      </c>
      <c r="D283" t="s">
        <v>54</v>
      </c>
      <c r="E283" t="s">
        <v>14</v>
      </c>
      <c r="F283">
        <v>946.07</v>
      </c>
      <c r="G283" s="6">
        <v>946.07</v>
      </c>
      <c r="H283">
        <v>15.7</v>
      </c>
      <c r="I283">
        <v>61.8</v>
      </c>
      <c r="J283" t="s">
        <v>43</v>
      </c>
      <c r="K283" s="17">
        <v>7.88</v>
      </c>
      <c r="L283" t="s">
        <v>19</v>
      </c>
      <c r="M283">
        <v>2021</v>
      </c>
      <c r="N283">
        <v>7455.0316000000003</v>
      </c>
    </row>
    <row r="284" spans="2:14" x14ac:dyDescent="0.25">
      <c r="B284" s="5">
        <v>44627</v>
      </c>
      <c r="C284" t="s">
        <v>21</v>
      </c>
      <c r="D284" t="s">
        <v>13</v>
      </c>
      <c r="E284" t="s">
        <v>14</v>
      </c>
      <c r="F284">
        <v>961.43</v>
      </c>
      <c r="G284" s="6">
        <v>941.24</v>
      </c>
      <c r="H284">
        <v>16</v>
      </c>
      <c r="I284">
        <v>61.4</v>
      </c>
      <c r="J284" t="s">
        <v>43</v>
      </c>
      <c r="K284" s="17">
        <v>8.31</v>
      </c>
      <c r="L284" t="s">
        <v>19</v>
      </c>
      <c r="M284">
        <v>2021</v>
      </c>
      <c r="N284">
        <v>7821.7044000000005</v>
      </c>
    </row>
    <row r="285" spans="2:14" x14ac:dyDescent="0.25">
      <c r="B285" s="5">
        <v>44628</v>
      </c>
      <c r="C285" t="s">
        <v>21</v>
      </c>
      <c r="D285" t="s">
        <v>13</v>
      </c>
      <c r="E285" t="s">
        <v>14</v>
      </c>
      <c r="F285">
        <v>997.5</v>
      </c>
      <c r="G285" s="6">
        <v>976.55</v>
      </c>
      <c r="H285">
        <v>15.7</v>
      </c>
      <c r="I285">
        <v>61.8</v>
      </c>
      <c r="J285" t="s">
        <v>43</v>
      </c>
      <c r="K285" s="17">
        <v>8.33</v>
      </c>
      <c r="L285" t="s">
        <v>19</v>
      </c>
      <c r="M285">
        <v>2021</v>
      </c>
      <c r="N285">
        <v>8134.6614999999993</v>
      </c>
    </row>
    <row r="286" spans="2:14" x14ac:dyDescent="0.25">
      <c r="B286" s="5">
        <v>44630</v>
      </c>
      <c r="C286" t="s">
        <v>21</v>
      </c>
      <c r="D286" t="s">
        <v>56</v>
      </c>
      <c r="E286" t="s">
        <v>14</v>
      </c>
      <c r="G286" s="6">
        <v>801.7</v>
      </c>
      <c r="H286">
        <v>15.5</v>
      </c>
      <c r="I286">
        <v>60.7</v>
      </c>
      <c r="J286" t="s">
        <v>43</v>
      </c>
      <c r="K286" s="17">
        <v>7.36</v>
      </c>
      <c r="L286" t="s">
        <v>19</v>
      </c>
      <c r="M286">
        <v>2021</v>
      </c>
      <c r="N286">
        <v>5900.5120000000006</v>
      </c>
    </row>
    <row r="287" spans="2:14" x14ac:dyDescent="0.25">
      <c r="B287" s="5">
        <v>44742</v>
      </c>
      <c r="C287" t="s">
        <v>21</v>
      </c>
      <c r="D287" t="s">
        <v>46</v>
      </c>
      <c r="E287" t="s">
        <v>52</v>
      </c>
      <c r="F287">
        <v>962.14</v>
      </c>
      <c r="G287" s="6">
        <v>948.67</v>
      </c>
      <c r="H287">
        <v>15.7</v>
      </c>
      <c r="I287">
        <v>59.9</v>
      </c>
      <c r="J287" t="s">
        <v>43</v>
      </c>
      <c r="K287" s="17">
        <v>7.54</v>
      </c>
      <c r="L287" t="s">
        <v>19</v>
      </c>
      <c r="M287">
        <v>2021</v>
      </c>
      <c r="N287">
        <v>7152.9717999999993</v>
      </c>
    </row>
    <row r="288" spans="2:14" x14ac:dyDescent="0.25">
      <c r="B288" s="5">
        <v>44743</v>
      </c>
      <c r="C288" t="s">
        <v>21</v>
      </c>
      <c r="D288" t="s">
        <v>46</v>
      </c>
      <c r="E288" t="s">
        <v>52</v>
      </c>
      <c r="F288">
        <v>1011.79</v>
      </c>
      <c r="G288" s="6">
        <v>997.62</v>
      </c>
      <c r="H288">
        <v>16</v>
      </c>
      <c r="I288">
        <v>59.7</v>
      </c>
      <c r="J288" t="s">
        <v>43</v>
      </c>
      <c r="K288" s="17">
        <v>7.53</v>
      </c>
      <c r="L288" t="s">
        <v>19</v>
      </c>
      <c r="M288">
        <v>2021</v>
      </c>
      <c r="N288">
        <v>7512.0786000000007</v>
      </c>
    </row>
    <row r="289" spans="2:14" x14ac:dyDescent="0.25">
      <c r="B289" s="5">
        <v>44774</v>
      </c>
      <c r="C289" t="s">
        <v>21</v>
      </c>
      <c r="D289" t="s">
        <v>57</v>
      </c>
      <c r="E289" t="s">
        <v>55</v>
      </c>
      <c r="F289">
        <v>1095.71</v>
      </c>
      <c r="G289" s="6">
        <v>1071.06</v>
      </c>
      <c r="H289">
        <v>16.2</v>
      </c>
      <c r="I289">
        <v>58.9</v>
      </c>
      <c r="J289" t="s">
        <v>43</v>
      </c>
      <c r="K289" s="17">
        <v>7.27</v>
      </c>
      <c r="L289" t="s">
        <v>19</v>
      </c>
      <c r="M289">
        <v>2021</v>
      </c>
      <c r="N289">
        <v>7786.6061999999993</v>
      </c>
    </row>
    <row r="290" spans="2:14" x14ac:dyDescent="0.25">
      <c r="B290" s="5">
        <v>44775</v>
      </c>
      <c r="C290" t="s">
        <v>21</v>
      </c>
      <c r="D290" t="s">
        <v>57</v>
      </c>
      <c r="E290" t="s">
        <v>55</v>
      </c>
      <c r="F290">
        <v>199.84</v>
      </c>
      <c r="G290" s="6">
        <v>198.34</v>
      </c>
      <c r="H290">
        <v>15.5</v>
      </c>
      <c r="I290">
        <v>59.3</v>
      </c>
      <c r="J290" t="s">
        <v>43</v>
      </c>
      <c r="K290" s="17">
        <v>7.27</v>
      </c>
      <c r="L290" t="s">
        <v>19</v>
      </c>
      <c r="M290">
        <v>2021</v>
      </c>
      <c r="N290">
        <v>1441.9317999999998</v>
      </c>
    </row>
    <row r="291" spans="2:14" x14ac:dyDescent="0.25">
      <c r="B291" s="5">
        <v>44775</v>
      </c>
      <c r="C291" t="s">
        <v>21</v>
      </c>
      <c r="F291">
        <v>876.75</v>
      </c>
      <c r="G291" s="6">
        <v>870.17</v>
      </c>
      <c r="J291" t="s">
        <v>43</v>
      </c>
      <c r="K291" s="17">
        <v>6.87</v>
      </c>
      <c r="L291" t="s">
        <v>19</v>
      </c>
      <c r="M291">
        <v>2021</v>
      </c>
      <c r="N291">
        <v>5978.0679</v>
      </c>
    </row>
    <row r="292" spans="2:14" x14ac:dyDescent="0.25">
      <c r="B292" s="5">
        <v>44775</v>
      </c>
      <c r="C292" t="s">
        <v>21</v>
      </c>
      <c r="D292" t="s">
        <v>57</v>
      </c>
      <c r="E292" t="s">
        <v>55</v>
      </c>
      <c r="F292">
        <v>1101.43</v>
      </c>
      <c r="G292" s="6">
        <v>1084.9100000000001</v>
      </c>
      <c r="H292">
        <v>15.6</v>
      </c>
      <c r="I292">
        <v>59.1</v>
      </c>
      <c r="J292" t="s">
        <v>43</v>
      </c>
      <c r="K292" s="17">
        <v>7.1124999999999998</v>
      </c>
      <c r="L292" t="s">
        <v>19</v>
      </c>
      <c r="M292">
        <v>2021</v>
      </c>
      <c r="N292">
        <v>7716.4223750000001</v>
      </c>
    </row>
    <row r="293" spans="2:14" x14ac:dyDescent="0.25">
      <c r="B293" s="5">
        <v>44775</v>
      </c>
      <c r="C293" t="s">
        <v>21</v>
      </c>
      <c r="D293" t="s">
        <v>57</v>
      </c>
      <c r="E293" t="s">
        <v>55</v>
      </c>
      <c r="F293">
        <v>1036.07</v>
      </c>
      <c r="G293" s="6">
        <v>1020.53</v>
      </c>
      <c r="H293">
        <v>15.7</v>
      </c>
      <c r="I293">
        <v>59.6</v>
      </c>
      <c r="J293" t="s">
        <v>43</v>
      </c>
      <c r="K293" s="17">
        <v>7.1124999999999998</v>
      </c>
      <c r="L293" t="s">
        <v>19</v>
      </c>
      <c r="M293">
        <v>2021</v>
      </c>
      <c r="N293">
        <v>7258.5196249999999</v>
      </c>
    </row>
    <row r="294" spans="2:14" x14ac:dyDescent="0.25">
      <c r="B294" s="5">
        <v>44776</v>
      </c>
      <c r="C294" t="s">
        <v>21</v>
      </c>
      <c r="D294" t="s">
        <v>57</v>
      </c>
      <c r="E294" t="s">
        <v>55</v>
      </c>
      <c r="F294">
        <v>1140.3599999999999</v>
      </c>
      <c r="G294" s="6">
        <v>1123.25</v>
      </c>
      <c r="H294">
        <v>15.6</v>
      </c>
      <c r="I294">
        <v>59.5</v>
      </c>
      <c r="J294" t="s">
        <v>43</v>
      </c>
      <c r="K294" s="17">
        <v>6.87</v>
      </c>
      <c r="L294" t="s">
        <v>19</v>
      </c>
      <c r="M294">
        <v>2021</v>
      </c>
      <c r="N294">
        <v>7716.7275</v>
      </c>
    </row>
    <row r="295" spans="2:14" x14ac:dyDescent="0.25">
      <c r="B295" s="5">
        <v>44778</v>
      </c>
      <c r="C295" t="s">
        <v>21</v>
      </c>
      <c r="D295" t="s">
        <v>57</v>
      </c>
      <c r="E295" t="s">
        <v>55</v>
      </c>
      <c r="F295">
        <v>1108.93</v>
      </c>
      <c r="G295" s="6">
        <v>1092.3</v>
      </c>
      <c r="H295">
        <v>15.8</v>
      </c>
      <c r="I295">
        <v>60.3</v>
      </c>
      <c r="J295" t="s">
        <v>43</v>
      </c>
      <c r="K295" s="17">
        <v>6.9024999999999999</v>
      </c>
      <c r="L295" t="s">
        <v>19</v>
      </c>
      <c r="M295">
        <v>2021</v>
      </c>
      <c r="N295">
        <v>7539.6007499999996</v>
      </c>
    </row>
    <row r="296" spans="2:14" x14ac:dyDescent="0.25">
      <c r="B296" s="5">
        <v>44778</v>
      </c>
      <c r="C296" t="s">
        <v>21</v>
      </c>
      <c r="D296" t="s">
        <v>57</v>
      </c>
      <c r="E296" t="s">
        <v>55</v>
      </c>
      <c r="F296">
        <v>1127.1400000000001</v>
      </c>
      <c r="G296" s="6">
        <v>1110.23</v>
      </c>
      <c r="H296">
        <v>15.8</v>
      </c>
      <c r="I296">
        <v>59.5</v>
      </c>
      <c r="J296" t="s">
        <v>43</v>
      </c>
      <c r="K296" s="17">
        <v>6.9024999999999999</v>
      </c>
      <c r="L296" t="s">
        <v>19</v>
      </c>
      <c r="M296">
        <v>2021</v>
      </c>
      <c r="N296">
        <v>7663.3625750000001</v>
      </c>
    </row>
    <row r="297" spans="2:14" x14ac:dyDescent="0.25">
      <c r="B297" s="5">
        <v>44781</v>
      </c>
      <c r="C297" t="s">
        <v>21</v>
      </c>
      <c r="D297" t="s">
        <v>57</v>
      </c>
      <c r="E297" t="s">
        <v>55</v>
      </c>
      <c r="F297">
        <v>1213.57</v>
      </c>
      <c r="G297" s="6">
        <v>1213.57</v>
      </c>
      <c r="H297">
        <v>14.8</v>
      </c>
      <c r="I297">
        <v>60.9</v>
      </c>
      <c r="J297" t="s">
        <v>43</v>
      </c>
      <c r="K297" s="17">
        <v>6.8849999999999998</v>
      </c>
      <c r="L297" t="s">
        <v>19</v>
      </c>
      <c r="M297">
        <v>2021</v>
      </c>
      <c r="N297">
        <v>8355.4294499999996</v>
      </c>
    </row>
    <row r="298" spans="2:14" x14ac:dyDescent="0.25">
      <c r="B298" s="5">
        <v>44781</v>
      </c>
      <c r="C298" t="s">
        <v>21</v>
      </c>
      <c r="D298" t="s">
        <v>57</v>
      </c>
      <c r="E298" t="s">
        <v>55</v>
      </c>
      <c r="F298">
        <v>1152.5</v>
      </c>
      <c r="G298" s="6">
        <v>1152.5</v>
      </c>
      <c r="H298">
        <v>14.9</v>
      </c>
      <c r="I298">
        <v>61.1</v>
      </c>
      <c r="J298" t="s">
        <v>43</v>
      </c>
      <c r="K298" s="17">
        <v>6.8849999999999998</v>
      </c>
      <c r="L298" t="s">
        <v>19</v>
      </c>
      <c r="M298">
        <v>2021</v>
      </c>
      <c r="N298">
        <v>7934.9624999999996</v>
      </c>
    </row>
    <row r="299" spans="2:14" x14ac:dyDescent="0.25">
      <c r="B299" s="5">
        <v>44796</v>
      </c>
      <c r="C299" t="s">
        <v>21</v>
      </c>
      <c r="D299" t="s">
        <v>13</v>
      </c>
      <c r="E299" t="s">
        <v>52</v>
      </c>
      <c r="F299">
        <v>661.79</v>
      </c>
      <c r="G299" s="6">
        <v>661.79</v>
      </c>
      <c r="H299">
        <v>13.9</v>
      </c>
      <c r="I299">
        <v>60.9</v>
      </c>
      <c r="J299" t="s">
        <v>43</v>
      </c>
      <c r="K299" s="17">
        <v>7.35</v>
      </c>
      <c r="L299" t="s">
        <v>19</v>
      </c>
      <c r="M299">
        <v>2021</v>
      </c>
      <c r="N299">
        <v>4864.1564999999991</v>
      </c>
    </row>
    <row r="300" spans="2:14" x14ac:dyDescent="0.25">
      <c r="B300" s="5">
        <v>44509</v>
      </c>
      <c r="C300" t="s">
        <v>21</v>
      </c>
      <c r="D300" t="s">
        <v>39</v>
      </c>
      <c r="E300" t="s">
        <v>14</v>
      </c>
      <c r="F300">
        <v>846.33</v>
      </c>
      <c r="G300" s="6">
        <v>829.4</v>
      </c>
      <c r="H300">
        <v>13.7</v>
      </c>
      <c r="I300">
        <v>53.7</v>
      </c>
      <c r="J300" t="s">
        <v>43</v>
      </c>
      <c r="K300" s="17">
        <v>12.02</v>
      </c>
      <c r="L300" t="s">
        <v>15</v>
      </c>
      <c r="M300">
        <v>2021</v>
      </c>
      <c r="N300">
        <v>9969.387999999999</v>
      </c>
    </row>
    <row r="301" spans="2:14" x14ac:dyDescent="0.25">
      <c r="B301" s="5">
        <v>44515</v>
      </c>
      <c r="C301" t="s">
        <v>21</v>
      </c>
      <c r="D301" t="s">
        <v>39</v>
      </c>
      <c r="E301" t="s">
        <v>14</v>
      </c>
      <c r="F301">
        <v>833.33</v>
      </c>
      <c r="G301" s="6">
        <v>825</v>
      </c>
      <c r="H301">
        <v>13.3</v>
      </c>
      <c r="I301">
        <v>52.3</v>
      </c>
      <c r="J301" t="s">
        <v>43</v>
      </c>
      <c r="K301" s="17">
        <v>12.6</v>
      </c>
      <c r="L301" t="s">
        <v>15</v>
      </c>
      <c r="M301">
        <v>2021</v>
      </c>
      <c r="N301">
        <v>10395</v>
      </c>
    </row>
    <row r="302" spans="2:14" x14ac:dyDescent="0.25">
      <c r="B302" s="5">
        <v>44631</v>
      </c>
      <c r="C302" t="s">
        <v>21</v>
      </c>
      <c r="D302" t="s">
        <v>39</v>
      </c>
      <c r="E302" t="s">
        <v>14</v>
      </c>
      <c r="F302">
        <v>813</v>
      </c>
      <c r="G302" s="6">
        <v>796.74</v>
      </c>
      <c r="H302">
        <v>14</v>
      </c>
      <c r="I302">
        <v>53.7</v>
      </c>
      <c r="J302" t="s">
        <v>43</v>
      </c>
      <c r="K302" s="17">
        <v>13.08</v>
      </c>
      <c r="L302" t="s">
        <v>15</v>
      </c>
      <c r="M302">
        <v>2021</v>
      </c>
      <c r="N302">
        <v>10421.359200000001</v>
      </c>
    </row>
    <row r="303" spans="2:14" x14ac:dyDescent="0.25">
      <c r="B303" s="5">
        <v>44631</v>
      </c>
      <c r="C303" t="s">
        <v>21</v>
      </c>
      <c r="D303" t="s">
        <v>39</v>
      </c>
      <c r="E303" t="s">
        <v>14</v>
      </c>
      <c r="F303">
        <v>831</v>
      </c>
      <c r="G303" s="6">
        <v>822.69</v>
      </c>
      <c r="H303">
        <v>13.5</v>
      </c>
      <c r="I303">
        <v>53.8</v>
      </c>
      <c r="J303" t="s">
        <v>43</v>
      </c>
      <c r="K303" s="17">
        <v>13.08</v>
      </c>
      <c r="L303" t="s">
        <v>15</v>
      </c>
      <c r="M303">
        <v>2021</v>
      </c>
      <c r="N303">
        <v>10760.7852</v>
      </c>
    </row>
    <row r="304" spans="2:14" x14ac:dyDescent="0.25">
      <c r="B304" s="5">
        <v>44635</v>
      </c>
      <c r="C304" t="s">
        <v>21</v>
      </c>
      <c r="D304" t="s">
        <v>39</v>
      </c>
      <c r="E304" t="s">
        <v>58</v>
      </c>
      <c r="F304">
        <v>798</v>
      </c>
      <c r="G304" s="6">
        <v>798</v>
      </c>
      <c r="H304">
        <v>13</v>
      </c>
      <c r="I304">
        <v>54.5</v>
      </c>
      <c r="J304" t="s">
        <v>43</v>
      </c>
      <c r="K304" s="17">
        <v>15.59</v>
      </c>
      <c r="L304" t="s">
        <v>15</v>
      </c>
      <c r="M304">
        <v>2021</v>
      </c>
      <c r="N304">
        <v>12440.82</v>
      </c>
    </row>
    <row r="305" spans="2:14" x14ac:dyDescent="0.25">
      <c r="B305" s="5">
        <v>44635</v>
      </c>
      <c r="C305" t="s">
        <v>21</v>
      </c>
      <c r="D305" t="s">
        <v>39</v>
      </c>
      <c r="E305" t="s">
        <v>58</v>
      </c>
      <c r="F305">
        <v>855.33</v>
      </c>
      <c r="G305" s="6">
        <v>855.33</v>
      </c>
      <c r="H305">
        <v>13</v>
      </c>
      <c r="I305">
        <v>54.7</v>
      </c>
      <c r="J305" t="s">
        <v>43</v>
      </c>
      <c r="K305" s="17">
        <v>13.08</v>
      </c>
      <c r="L305" t="s">
        <v>15</v>
      </c>
      <c r="M305">
        <v>2021</v>
      </c>
      <c r="N305">
        <v>11187.716400000001</v>
      </c>
    </row>
    <row r="306" spans="2:14" x14ac:dyDescent="0.25">
      <c r="B306" s="5">
        <v>44636</v>
      </c>
      <c r="C306" t="s">
        <v>21</v>
      </c>
      <c r="D306" t="s">
        <v>39</v>
      </c>
      <c r="E306" t="s">
        <v>58</v>
      </c>
      <c r="F306">
        <v>919.33</v>
      </c>
      <c r="G306" s="6">
        <v>919.33</v>
      </c>
      <c r="H306">
        <v>12.8</v>
      </c>
      <c r="I306">
        <v>54.5</v>
      </c>
      <c r="J306" t="s">
        <v>43</v>
      </c>
      <c r="K306" s="17">
        <v>13.08</v>
      </c>
      <c r="L306" t="s">
        <v>15</v>
      </c>
      <c r="M306">
        <v>2021</v>
      </c>
      <c r="N306">
        <v>12024.8364</v>
      </c>
    </row>
    <row r="307" spans="2:14" x14ac:dyDescent="0.25">
      <c r="B307" s="5">
        <v>44636</v>
      </c>
      <c r="C307" t="s">
        <v>21</v>
      </c>
      <c r="D307" t="s">
        <v>39</v>
      </c>
      <c r="E307" t="s">
        <v>58</v>
      </c>
      <c r="F307">
        <v>898</v>
      </c>
      <c r="G307" s="6">
        <v>898</v>
      </c>
      <c r="H307">
        <v>13</v>
      </c>
      <c r="I307">
        <v>54.5</v>
      </c>
      <c r="J307" t="s">
        <v>43</v>
      </c>
      <c r="K307" s="17">
        <v>13.08</v>
      </c>
      <c r="L307" t="s">
        <v>15</v>
      </c>
      <c r="M307">
        <v>2021</v>
      </c>
      <c r="N307">
        <v>11745.84</v>
      </c>
    </row>
    <row r="308" spans="2:14" x14ac:dyDescent="0.25">
      <c r="B308" s="5">
        <v>44636</v>
      </c>
      <c r="C308" t="s">
        <v>21</v>
      </c>
      <c r="D308" t="s">
        <v>39</v>
      </c>
      <c r="E308" t="s">
        <v>58</v>
      </c>
      <c r="F308">
        <v>902.67</v>
      </c>
      <c r="G308" s="6">
        <v>778.59</v>
      </c>
      <c r="H308">
        <v>13.4</v>
      </c>
      <c r="I308">
        <v>55.3</v>
      </c>
      <c r="J308" t="s">
        <v>43</v>
      </c>
      <c r="K308" s="17">
        <v>15.35</v>
      </c>
      <c r="L308" t="s">
        <v>15</v>
      </c>
      <c r="M308">
        <v>2021</v>
      </c>
      <c r="N308">
        <v>11951.3565</v>
      </c>
    </row>
    <row r="309" spans="2:14" x14ac:dyDescent="0.25">
      <c r="B309" s="5">
        <v>44636</v>
      </c>
      <c r="C309" t="s">
        <v>21</v>
      </c>
      <c r="G309" s="6">
        <v>115.05</v>
      </c>
      <c r="J309" t="s">
        <v>43</v>
      </c>
      <c r="K309" s="17">
        <v>15.59</v>
      </c>
      <c r="L309" t="s">
        <v>15</v>
      </c>
      <c r="M309">
        <v>2021</v>
      </c>
      <c r="N309">
        <v>1793.6295</v>
      </c>
    </row>
    <row r="310" spans="2:14" x14ac:dyDescent="0.25">
      <c r="B310" s="5">
        <v>44637</v>
      </c>
      <c r="C310" t="s">
        <v>21</v>
      </c>
      <c r="D310" t="s">
        <v>39</v>
      </c>
      <c r="E310" t="s">
        <v>58</v>
      </c>
      <c r="F310">
        <v>62.77</v>
      </c>
      <c r="G310" s="6">
        <v>59.63</v>
      </c>
      <c r="H310">
        <v>13.2</v>
      </c>
      <c r="I310">
        <v>54.8</v>
      </c>
      <c r="J310" t="s">
        <v>43</v>
      </c>
      <c r="K310" s="17">
        <v>13.08</v>
      </c>
      <c r="L310" t="s">
        <v>15</v>
      </c>
      <c r="M310">
        <v>2021</v>
      </c>
      <c r="N310">
        <v>779.96040000000005</v>
      </c>
    </row>
    <row r="311" spans="2:14" x14ac:dyDescent="0.25">
      <c r="B311" s="5">
        <v>44637</v>
      </c>
      <c r="C311" t="s">
        <v>21</v>
      </c>
      <c r="F311">
        <v>759.38</v>
      </c>
      <c r="G311" s="6">
        <v>721.41</v>
      </c>
      <c r="H311">
        <v>13.2</v>
      </c>
      <c r="I311">
        <v>54.8</v>
      </c>
      <c r="J311" t="s">
        <v>43</v>
      </c>
      <c r="K311" s="17">
        <v>15.35</v>
      </c>
      <c r="L311" t="s">
        <v>15</v>
      </c>
      <c r="M311">
        <v>2021</v>
      </c>
      <c r="N311">
        <v>11073.6435</v>
      </c>
    </row>
    <row r="312" spans="2:14" x14ac:dyDescent="0.25">
      <c r="B312" s="5">
        <v>44637</v>
      </c>
      <c r="C312" t="s">
        <v>21</v>
      </c>
      <c r="F312">
        <v>91.53</v>
      </c>
      <c r="G312" s="6">
        <v>86.95</v>
      </c>
      <c r="H312">
        <v>13.2</v>
      </c>
      <c r="I312">
        <v>54.8</v>
      </c>
      <c r="J312" t="s">
        <v>43</v>
      </c>
      <c r="K312" s="17">
        <v>15.59</v>
      </c>
      <c r="L312" t="s">
        <v>15</v>
      </c>
      <c r="M312">
        <v>2021</v>
      </c>
      <c r="N312">
        <v>1355.5505000000001</v>
      </c>
    </row>
    <row r="313" spans="2:14" x14ac:dyDescent="0.25">
      <c r="B313" s="5">
        <v>44637</v>
      </c>
      <c r="C313" t="s">
        <v>21</v>
      </c>
      <c r="F313">
        <v>10.99</v>
      </c>
      <c r="G313" s="6">
        <v>10.44</v>
      </c>
      <c r="H313">
        <v>13.2</v>
      </c>
      <c r="I313">
        <v>54.8</v>
      </c>
      <c r="J313" t="s">
        <v>43</v>
      </c>
      <c r="K313" s="17">
        <v>16.07</v>
      </c>
      <c r="L313" t="s">
        <v>15</v>
      </c>
      <c r="M313">
        <v>2021</v>
      </c>
      <c r="N313">
        <v>167.77080000000001</v>
      </c>
    </row>
    <row r="314" spans="2:14" x14ac:dyDescent="0.25">
      <c r="B314" s="5">
        <v>44641</v>
      </c>
      <c r="C314" t="s">
        <v>21</v>
      </c>
      <c r="D314" t="s">
        <v>39</v>
      </c>
      <c r="E314" t="s">
        <v>58</v>
      </c>
      <c r="F314">
        <v>903.67</v>
      </c>
      <c r="G314" s="6">
        <v>903.67</v>
      </c>
      <c r="H314">
        <v>13</v>
      </c>
      <c r="I314">
        <v>54.8</v>
      </c>
      <c r="J314" t="s">
        <v>43</v>
      </c>
      <c r="K314" s="17">
        <v>16.07</v>
      </c>
      <c r="L314" t="s">
        <v>15</v>
      </c>
      <c r="M314">
        <v>2021</v>
      </c>
      <c r="N314">
        <v>14521.9769</v>
      </c>
    </row>
    <row r="315" spans="2:14" x14ac:dyDescent="0.25">
      <c r="B315" s="5">
        <v>44641</v>
      </c>
      <c r="C315" t="s">
        <v>21</v>
      </c>
      <c r="D315" t="s">
        <v>39</v>
      </c>
      <c r="E315" t="s">
        <v>58</v>
      </c>
      <c r="F315">
        <v>86.76</v>
      </c>
      <c r="G315" s="6">
        <v>85.89</v>
      </c>
      <c r="H315">
        <v>13.3</v>
      </c>
      <c r="I315">
        <v>54.8</v>
      </c>
      <c r="J315" t="s">
        <v>43</v>
      </c>
      <c r="K315" s="17">
        <v>16.07</v>
      </c>
      <c r="L315" t="s">
        <v>15</v>
      </c>
      <c r="M315">
        <v>2021</v>
      </c>
      <c r="N315">
        <v>1380.2523000000001</v>
      </c>
    </row>
    <row r="316" spans="2:14" x14ac:dyDescent="0.25">
      <c r="B316" s="5">
        <v>44641</v>
      </c>
      <c r="C316" t="s">
        <v>21</v>
      </c>
      <c r="F316">
        <v>829.57</v>
      </c>
      <c r="G316" s="6">
        <v>821.27</v>
      </c>
      <c r="J316" t="s">
        <v>43</v>
      </c>
      <c r="K316" s="17">
        <v>17.04</v>
      </c>
      <c r="L316" t="s">
        <v>15</v>
      </c>
      <c r="M316">
        <v>2021</v>
      </c>
      <c r="N316">
        <v>13994.440799999998</v>
      </c>
    </row>
    <row r="317" spans="2:14" x14ac:dyDescent="0.25">
      <c r="B317" s="5">
        <v>44641</v>
      </c>
      <c r="C317" t="s">
        <v>21</v>
      </c>
      <c r="D317" t="s">
        <v>39</v>
      </c>
      <c r="E317" t="s">
        <v>58</v>
      </c>
      <c r="F317">
        <v>192.18</v>
      </c>
      <c r="G317" s="6">
        <v>178.73</v>
      </c>
      <c r="H317">
        <v>12.9</v>
      </c>
      <c r="I317">
        <v>54.8</v>
      </c>
      <c r="J317" t="s">
        <v>43</v>
      </c>
      <c r="K317" s="17">
        <v>17.04</v>
      </c>
      <c r="L317" t="s">
        <v>15</v>
      </c>
      <c r="M317">
        <v>2021</v>
      </c>
      <c r="N317">
        <v>3045.5591999999997</v>
      </c>
    </row>
    <row r="318" spans="2:14" x14ac:dyDescent="0.25">
      <c r="B318" s="5">
        <v>44641</v>
      </c>
      <c r="C318" t="s">
        <v>21</v>
      </c>
      <c r="F318">
        <v>730.49</v>
      </c>
      <c r="G318" s="6">
        <v>679.36</v>
      </c>
      <c r="J318" t="s">
        <v>43</v>
      </c>
      <c r="K318" s="17">
        <v>17.010000000000002</v>
      </c>
      <c r="L318" t="s">
        <v>15</v>
      </c>
      <c r="M318">
        <v>2021</v>
      </c>
      <c r="N318">
        <v>11555.913600000002</v>
      </c>
    </row>
    <row r="319" spans="2:14" x14ac:dyDescent="0.25">
      <c r="B319" s="5">
        <v>44658</v>
      </c>
      <c r="C319" t="s">
        <v>21</v>
      </c>
      <c r="D319" t="s">
        <v>39</v>
      </c>
      <c r="E319" t="s">
        <v>52</v>
      </c>
      <c r="F319">
        <v>884.67</v>
      </c>
      <c r="G319" s="6">
        <v>884.67</v>
      </c>
      <c r="H319">
        <v>12.7</v>
      </c>
      <c r="I319">
        <v>54.1</v>
      </c>
      <c r="J319" t="s">
        <v>43</v>
      </c>
      <c r="K319" s="17">
        <v>17.5</v>
      </c>
      <c r="L319" t="s">
        <v>15</v>
      </c>
      <c r="M319">
        <v>2021</v>
      </c>
      <c r="N319">
        <v>15481.724999999999</v>
      </c>
    </row>
    <row r="320" spans="2:14" x14ac:dyDescent="0.25">
      <c r="B320" s="5">
        <v>44662</v>
      </c>
      <c r="C320" t="s">
        <v>21</v>
      </c>
      <c r="D320" t="s">
        <v>39</v>
      </c>
      <c r="E320" t="s">
        <v>52</v>
      </c>
      <c r="F320">
        <v>878.67</v>
      </c>
      <c r="G320" s="6">
        <v>878.67</v>
      </c>
      <c r="H320">
        <v>12.9</v>
      </c>
      <c r="I320">
        <v>54.1</v>
      </c>
      <c r="J320" t="s">
        <v>43</v>
      </c>
      <c r="K320" s="17">
        <v>17.5</v>
      </c>
      <c r="L320" t="s">
        <v>15</v>
      </c>
      <c r="M320">
        <v>2021</v>
      </c>
      <c r="N320">
        <v>15376.724999999999</v>
      </c>
    </row>
    <row r="321" spans="2:14" x14ac:dyDescent="0.25">
      <c r="B321" s="5">
        <v>44665</v>
      </c>
      <c r="C321" t="s">
        <v>21</v>
      </c>
      <c r="D321" t="s">
        <v>39</v>
      </c>
      <c r="E321" t="s">
        <v>52</v>
      </c>
      <c r="F321">
        <v>857.33</v>
      </c>
      <c r="G321" s="6">
        <v>736.66600000000005</v>
      </c>
      <c r="H321">
        <v>13</v>
      </c>
      <c r="I321">
        <v>54.2</v>
      </c>
      <c r="J321" t="s">
        <v>43</v>
      </c>
      <c r="K321" s="17">
        <v>17.5</v>
      </c>
      <c r="L321" t="s">
        <v>15</v>
      </c>
      <c r="M321">
        <v>2021</v>
      </c>
      <c r="N321">
        <v>12891.655000000001</v>
      </c>
    </row>
    <row r="322" spans="2:14" x14ac:dyDescent="0.25">
      <c r="B322" s="5">
        <v>44665</v>
      </c>
      <c r="C322" t="s">
        <v>21</v>
      </c>
      <c r="G322" s="6">
        <v>120.67</v>
      </c>
      <c r="J322" t="s">
        <v>43</v>
      </c>
      <c r="K322" s="17">
        <v>16.824999999999999</v>
      </c>
      <c r="L322" t="s">
        <v>15</v>
      </c>
      <c r="M322">
        <v>2021</v>
      </c>
      <c r="N322">
        <v>2030.2727499999999</v>
      </c>
    </row>
    <row r="323" spans="2:14" x14ac:dyDescent="0.25">
      <c r="B323" s="5">
        <v>44704</v>
      </c>
      <c r="C323" t="s">
        <v>21</v>
      </c>
      <c r="D323" t="s">
        <v>59</v>
      </c>
      <c r="E323" t="s">
        <v>52</v>
      </c>
      <c r="F323">
        <v>350.67</v>
      </c>
      <c r="G323" s="6">
        <v>347.16</v>
      </c>
      <c r="H323">
        <v>13.1</v>
      </c>
      <c r="I323">
        <v>54.7</v>
      </c>
      <c r="J323" t="s">
        <v>43</v>
      </c>
      <c r="K323" s="17">
        <v>17.649999999999999</v>
      </c>
      <c r="L323" t="s">
        <v>15</v>
      </c>
      <c r="M323">
        <v>2021</v>
      </c>
      <c r="N323">
        <v>6127.3739999999998</v>
      </c>
    </row>
    <row r="324" spans="2:14" x14ac:dyDescent="0.25">
      <c r="B324" s="5">
        <v>44452</v>
      </c>
      <c r="C324" t="s">
        <v>23</v>
      </c>
      <c r="D324" t="s">
        <v>46</v>
      </c>
      <c r="E324" t="s">
        <v>14</v>
      </c>
      <c r="F324">
        <v>1004.29</v>
      </c>
      <c r="G324" s="6">
        <v>905.87</v>
      </c>
      <c r="H324">
        <v>58.6</v>
      </c>
      <c r="I324">
        <v>21.8</v>
      </c>
      <c r="J324" t="s">
        <v>43</v>
      </c>
      <c r="K324" s="17">
        <v>5.68</v>
      </c>
      <c r="L324" t="s">
        <v>19</v>
      </c>
      <c r="M324">
        <v>2021</v>
      </c>
      <c r="N324">
        <v>5145.3415999999997</v>
      </c>
    </row>
    <row r="325" spans="2:14" x14ac:dyDescent="0.25">
      <c r="B325" s="5">
        <v>44481</v>
      </c>
      <c r="C325" t="s">
        <v>23</v>
      </c>
      <c r="D325" t="s">
        <v>13</v>
      </c>
      <c r="E325" t="s">
        <v>14</v>
      </c>
      <c r="F325">
        <v>963.21</v>
      </c>
      <c r="G325" s="6">
        <v>963.21</v>
      </c>
      <c r="H325">
        <v>60.1</v>
      </c>
      <c r="I325">
        <v>15</v>
      </c>
      <c r="J325" t="s">
        <v>43</v>
      </c>
      <c r="K325" s="17">
        <v>5.1100000000000003</v>
      </c>
      <c r="L325" t="s">
        <v>19</v>
      </c>
      <c r="M325">
        <v>2021</v>
      </c>
      <c r="N325">
        <v>4922.0031000000008</v>
      </c>
    </row>
    <row r="326" spans="2:14" x14ac:dyDescent="0.25">
      <c r="B326" s="5">
        <v>44529</v>
      </c>
      <c r="C326" t="s">
        <v>23</v>
      </c>
      <c r="D326" t="s">
        <v>46</v>
      </c>
      <c r="E326" t="s">
        <v>52</v>
      </c>
      <c r="F326">
        <v>881.79</v>
      </c>
      <c r="G326" s="6">
        <v>869.44</v>
      </c>
      <c r="H326">
        <v>56.9</v>
      </c>
      <c r="I326">
        <v>16</v>
      </c>
      <c r="J326" t="s">
        <v>43</v>
      </c>
      <c r="K326" s="17">
        <v>6</v>
      </c>
      <c r="L326" t="s">
        <v>19</v>
      </c>
      <c r="M326">
        <v>2021</v>
      </c>
      <c r="N326">
        <v>5216.6400000000003</v>
      </c>
    </row>
    <row r="327" spans="2:14" x14ac:dyDescent="0.25">
      <c r="B327" s="5">
        <v>44530</v>
      </c>
      <c r="C327" t="s">
        <v>23</v>
      </c>
      <c r="D327" t="s">
        <v>46</v>
      </c>
      <c r="E327" t="s">
        <v>14</v>
      </c>
      <c r="F327">
        <v>990.71</v>
      </c>
      <c r="G327" s="6">
        <v>990.71</v>
      </c>
      <c r="H327">
        <v>59</v>
      </c>
      <c r="I327">
        <v>14.7</v>
      </c>
      <c r="J327" t="s">
        <v>43</v>
      </c>
      <c r="K327" s="17">
        <v>6</v>
      </c>
      <c r="L327" t="s">
        <v>19</v>
      </c>
      <c r="M327">
        <v>2021</v>
      </c>
      <c r="N327">
        <v>5944.26</v>
      </c>
    </row>
    <row r="328" spans="2:14" x14ac:dyDescent="0.25">
      <c r="B328" s="5">
        <v>44531</v>
      </c>
      <c r="C328" t="s">
        <v>23</v>
      </c>
      <c r="D328" t="s">
        <v>46</v>
      </c>
      <c r="E328" t="s">
        <v>14</v>
      </c>
      <c r="F328">
        <v>1006.79</v>
      </c>
      <c r="G328" s="6">
        <v>1006.79</v>
      </c>
      <c r="H328">
        <v>57.8</v>
      </c>
      <c r="I328">
        <v>14.5</v>
      </c>
      <c r="J328" t="s">
        <v>43</v>
      </c>
      <c r="K328" s="17">
        <v>6</v>
      </c>
      <c r="L328" t="s">
        <v>19</v>
      </c>
      <c r="M328">
        <v>2021</v>
      </c>
      <c r="N328">
        <v>6040.74</v>
      </c>
    </row>
    <row r="329" spans="2:14" x14ac:dyDescent="0.25">
      <c r="B329" s="5">
        <v>44531</v>
      </c>
      <c r="C329" t="s">
        <v>23</v>
      </c>
      <c r="D329" t="s">
        <v>46</v>
      </c>
      <c r="E329" t="s">
        <v>14</v>
      </c>
      <c r="F329">
        <v>1031.79</v>
      </c>
      <c r="G329" s="6">
        <v>1031.79</v>
      </c>
      <c r="H329">
        <v>58.2</v>
      </c>
      <c r="I329">
        <v>14.7</v>
      </c>
      <c r="J329" t="s">
        <v>43</v>
      </c>
      <c r="K329" s="17">
        <v>6</v>
      </c>
      <c r="L329" t="s">
        <v>19</v>
      </c>
      <c r="M329">
        <v>2021</v>
      </c>
      <c r="N329">
        <v>6190.74</v>
      </c>
    </row>
    <row r="330" spans="2:14" x14ac:dyDescent="0.25">
      <c r="B330" s="5">
        <v>44532</v>
      </c>
      <c r="C330" t="s">
        <v>23</v>
      </c>
      <c r="D330" t="s">
        <v>46</v>
      </c>
      <c r="E330" t="s">
        <v>14</v>
      </c>
      <c r="F330">
        <v>1048.93</v>
      </c>
      <c r="G330" s="6">
        <v>1048.93</v>
      </c>
      <c r="H330">
        <v>58.8</v>
      </c>
      <c r="I330">
        <v>14.7</v>
      </c>
      <c r="J330" t="s">
        <v>43</v>
      </c>
      <c r="K330" s="17">
        <v>6</v>
      </c>
      <c r="L330" t="s">
        <v>19</v>
      </c>
      <c r="M330">
        <v>2021</v>
      </c>
      <c r="N330">
        <v>6293.58</v>
      </c>
    </row>
    <row r="331" spans="2:14" x14ac:dyDescent="0.25">
      <c r="B331" s="5">
        <v>44532</v>
      </c>
      <c r="C331" t="s">
        <v>23</v>
      </c>
      <c r="D331" t="s">
        <v>46</v>
      </c>
      <c r="E331" t="s">
        <v>14</v>
      </c>
      <c r="F331">
        <v>1050</v>
      </c>
      <c r="G331" s="6">
        <v>1050</v>
      </c>
      <c r="H331">
        <v>58.7</v>
      </c>
      <c r="I331">
        <v>14.7</v>
      </c>
      <c r="J331" t="s">
        <v>43</v>
      </c>
      <c r="K331" s="17">
        <v>6</v>
      </c>
      <c r="L331" t="s">
        <v>19</v>
      </c>
      <c r="M331">
        <v>2021</v>
      </c>
      <c r="N331">
        <v>6300</v>
      </c>
    </row>
    <row r="332" spans="2:14" x14ac:dyDescent="0.25">
      <c r="B332" s="5">
        <v>44532</v>
      </c>
      <c r="C332" t="s">
        <v>23</v>
      </c>
      <c r="D332" t="s">
        <v>46</v>
      </c>
      <c r="E332" t="s">
        <v>14</v>
      </c>
      <c r="F332">
        <v>1036.79</v>
      </c>
      <c r="G332" s="6">
        <v>1036.79</v>
      </c>
      <c r="H332">
        <v>58.5</v>
      </c>
      <c r="I332">
        <v>14.7</v>
      </c>
      <c r="J332" t="s">
        <v>43</v>
      </c>
      <c r="K332" s="17">
        <v>6</v>
      </c>
      <c r="L332" t="s">
        <v>19</v>
      </c>
      <c r="M332">
        <v>2021</v>
      </c>
      <c r="N332">
        <v>6220.74</v>
      </c>
    </row>
    <row r="333" spans="2:14" x14ac:dyDescent="0.25">
      <c r="B333" s="5">
        <v>44532</v>
      </c>
      <c r="C333" t="s">
        <v>23</v>
      </c>
      <c r="D333" t="s">
        <v>46</v>
      </c>
      <c r="E333" t="s">
        <v>14</v>
      </c>
      <c r="F333">
        <v>1068.21</v>
      </c>
      <c r="G333" s="6">
        <v>1068.21</v>
      </c>
      <c r="H333">
        <v>58.2</v>
      </c>
      <c r="I333">
        <v>14.8</v>
      </c>
      <c r="J333" t="s">
        <v>43</v>
      </c>
      <c r="K333" s="17">
        <v>6</v>
      </c>
      <c r="L333" t="s">
        <v>19</v>
      </c>
      <c r="M333">
        <v>2021</v>
      </c>
      <c r="N333">
        <v>6409.26</v>
      </c>
    </row>
    <row r="334" spans="2:14" x14ac:dyDescent="0.25">
      <c r="B334" s="5">
        <v>44532</v>
      </c>
      <c r="C334" t="s">
        <v>23</v>
      </c>
      <c r="D334" t="s">
        <v>46</v>
      </c>
      <c r="E334" t="s">
        <v>14</v>
      </c>
      <c r="F334">
        <v>1048.93</v>
      </c>
      <c r="G334" s="6">
        <v>1048.93</v>
      </c>
      <c r="H334">
        <v>58.9</v>
      </c>
      <c r="I334">
        <v>14.8</v>
      </c>
      <c r="J334" t="s">
        <v>43</v>
      </c>
      <c r="K334" s="17">
        <v>6</v>
      </c>
      <c r="L334" t="s">
        <v>19</v>
      </c>
      <c r="M334">
        <v>2021</v>
      </c>
      <c r="N334">
        <v>6293.58</v>
      </c>
    </row>
    <row r="335" spans="2:14" x14ac:dyDescent="0.25">
      <c r="B335" s="5">
        <v>44536</v>
      </c>
      <c r="C335" t="s">
        <v>23</v>
      </c>
      <c r="D335" t="s">
        <v>46</v>
      </c>
      <c r="E335" t="s">
        <v>14</v>
      </c>
      <c r="F335">
        <v>1014.64</v>
      </c>
      <c r="G335" s="6">
        <v>1014.64</v>
      </c>
      <c r="H335">
        <v>59.5</v>
      </c>
      <c r="I335">
        <v>15</v>
      </c>
      <c r="J335" t="s">
        <v>43</v>
      </c>
      <c r="K335" s="17">
        <v>6</v>
      </c>
      <c r="L335" t="s">
        <v>19</v>
      </c>
      <c r="M335">
        <v>2021</v>
      </c>
      <c r="N335">
        <v>6087.84</v>
      </c>
    </row>
    <row r="336" spans="2:14" x14ac:dyDescent="0.25">
      <c r="B336" s="5">
        <v>44536</v>
      </c>
      <c r="C336" t="s">
        <v>23</v>
      </c>
      <c r="D336" t="s">
        <v>46</v>
      </c>
      <c r="E336" t="s">
        <v>14</v>
      </c>
      <c r="F336">
        <v>1010.71</v>
      </c>
      <c r="G336" s="6">
        <v>1003.64</v>
      </c>
      <c r="H336">
        <v>59.4</v>
      </c>
      <c r="I336">
        <v>15.2</v>
      </c>
      <c r="J336" t="s">
        <v>43</v>
      </c>
      <c r="K336" s="17">
        <v>6</v>
      </c>
      <c r="L336" t="s">
        <v>19</v>
      </c>
      <c r="M336">
        <v>2021</v>
      </c>
      <c r="N336">
        <v>6021.84</v>
      </c>
    </row>
    <row r="337" spans="2:14" x14ac:dyDescent="0.25">
      <c r="B337" s="5">
        <v>44536</v>
      </c>
      <c r="C337" t="s">
        <v>23</v>
      </c>
      <c r="D337" t="s">
        <v>46</v>
      </c>
      <c r="E337" t="s">
        <v>14</v>
      </c>
      <c r="F337">
        <v>1015.71</v>
      </c>
      <c r="G337" s="6">
        <v>830.13</v>
      </c>
      <c r="H337">
        <v>59.6</v>
      </c>
      <c r="I337">
        <v>15.3</v>
      </c>
      <c r="J337" t="s">
        <v>43</v>
      </c>
      <c r="K337" s="17">
        <v>6</v>
      </c>
      <c r="L337" t="s">
        <v>19</v>
      </c>
      <c r="M337">
        <v>2021</v>
      </c>
      <c r="N337">
        <v>4980.78</v>
      </c>
    </row>
    <row r="338" spans="2:14" x14ac:dyDescent="0.25">
      <c r="B338" s="5">
        <v>44536</v>
      </c>
      <c r="C338" t="s">
        <v>23</v>
      </c>
      <c r="G338" s="6">
        <v>178.47</v>
      </c>
      <c r="J338" t="s">
        <v>43</v>
      </c>
      <c r="K338" s="17">
        <v>6</v>
      </c>
      <c r="L338" t="s">
        <v>19</v>
      </c>
      <c r="M338">
        <v>2021</v>
      </c>
      <c r="N338">
        <v>1070.82</v>
      </c>
    </row>
    <row r="339" spans="2:14" x14ac:dyDescent="0.25">
      <c r="B339" s="5">
        <v>44536</v>
      </c>
      <c r="C339" t="s">
        <v>23</v>
      </c>
      <c r="D339" t="s">
        <v>46</v>
      </c>
      <c r="E339" t="s">
        <v>14</v>
      </c>
      <c r="F339">
        <v>1049.29</v>
      </c>
      <c r="G339" s="6">
        <v>1034.5999999999999</v>
      </c>
      <c r="H339">
        <v>58.4</v>
      </c>
      <c r="I339">
        <v>15.7</v>
      </c>
      <c r="J339" t="s">
        <v>43</v>
      </c>
      <c r="K339" s="17">
        <v>6</v>
      </c>
      <c r="L339" t="s">
        <v>19</v>
      </c>
      <c r="M339">
        <v>2021</v>
      </c>
      <c r="N339">
        <v>6207.5999999999995</v>
      </c>
    </row>
    <row r="340" spans="2:14" x14ac:dyDescent="0.25">
      <c r="B340" s="5">
        <v>44536</v>
      </c>
      <c r="C340" t="s">
        <v>23</v>
      </c>
      <c r="D340" t="s">
        <v>46</v>
      </c>
      <c r="E340" t="s">
        <v>14</v>
      </c>
      <c r="F340">
        <v>1038.57</v>
      </c>
      <c r="G340" s="6">
        <v>1024.03</v>
      </c>
      <c r="H340">
        <v>59.3</v>
      </c>
      <c r="I340">
        <v>15.8</v>
      </c>
      <c r="J340" t="s">
        <v>43</v>
      </c>
      <c r="K340" s="17">
        <v>6</v>
      </c>
      <c r="L340" t="s">
        <v>19</v>
      </c>
      <c r="M340">
        <v>2021</v>
      </c>
      <c r="N340">
        <v>6144.18</v>
      </c>
    </row>
    <row r="341" spans="2:14" x14ac:dyDescent="0.25">
      <c r="B341" s="5">
        <v>44537</v>
      </c>
      <c r="C341" t="s">
        <v>23</v>
      </c>
      <c r="D341" t="s">
        <v>46</v>
      </c>
      <c r="E341" t="s">
        <v>14</v>
      </c>
      <c r="F341">
        <v>1055.3599999999999</v>
      </c>
      <c r="G341" s="6">
        <v>1040.58</v>
      </c>
      <c r="H341">
        <v>59.5</v>
      </c>
      <c r="I341">
        <v>15.8</v>
      </c>
      <c r="J341" t="s">
        <v>43</v>
      </c>
      <c r="K341" s="17">
        <v>6</v>
      </c>
      <c r="L341" t="s">
        <v>19</v>
      </c>
      <c r="M341">
        <v>2021</v>
      </c>
      <c r="N341">
        <v>6243.48</v>
      </c>
    </row>
    <row r="342" spans="2:14" x14ac:dyDescent="0.25">
      <c r="B342" s="5">
        <v>44537</v>
      </c>
      <c r="C342" t="s">
        <v>23</v>
      </c>
      <c r="D342" t="s">
        <v>46</v>
      </c>
      <c r="E342" t="s">
        <v>14</v>
      </c>
      <c r="F342">
        <v>1030.71</v>
      </c>
      <c r="G342" s="6">
        <v>1016.28</v>
      </c>
      <c r="H342">
        <v>59.2</v>
      </c>
      <c r="I342">
        <v>15.8</v>
      </c>
      <c r="J342" t="s">
        <v>43</v>
      </c>
      <c r="K342" s="17">
        <v>6</v>
      </c>
      <c r="L342" t="s">
        <v>19</v>
      </c>
      <c r="M342">
        <v>2021</v>
      </c>
      <c r="N342">
        <v>6097.68</v>
      </c>
    </row>
    <row r="343" spans="2:14" x14ac:dyDescent="0.25">
      <c r="B343" s="5">
        <v>44537</v>
      </c>
      <c r="C343" t="s">
        <v>23</v>
      </c>
      <c r="D343" t="s">
        <v>46</v>
      </c>
      <c r="E343" t="s">
        <v>14</v>
      </c>
      <c r="F343">
        <v>1034.6400000000001</v>
      </c>
      <c r="G343" s="6">
        <v>706.04</v>
      </c>
      <c r="H343">
        <v>59.4</v>
      </c>
      <c r="I343">
        <v>15.9</v>
      </c>
      <c r="J343" t="s">
        <v>43</v>
      </c>
      <c r="K343" s="17">
        <v>6</v>
      </c>
      <c r="L343" t="s">
        <v>19</v>
      </c>
      <c r="M343">
        <v>2021</v>
      </c>
      <c r="N343">
        <v>4236.24</v>
      </c>
    </row>
    <row r="344" spans="2:14" x14ac:dyDescent="0.25">
      <c r="B344" s="5">
        <v>44537</v>
      </c>
      <c r="C344" t="s">
        <v>23</v>
      </c>
      <c r="G344" s="6">
        <v>314.12</v>
      </c>
      <c r="J344" t="s">
        <v>43</v>
      </c>
      <c r="K344" s="17">
        <v>5.9</v>
      </c>
      <c r="L344" t="s">
        <v>19</v>
      </c>
      <c r="M344">
        <v>2021</v>
      </c>
      <c r="N344">
        <v>1853.3080000000002</v>
      </c>
    </row>
    <row r="345" spans="2:14" x14ac:dyDescent="0.25">
      <c r="B345" s="5">
        <v>44615</v>
      </c>
      <c r="C345" t="s">
        <v>23</v>
      </c>
      <c r="D345" t="s">
        <v>13</v>
      </c>
      <c r="E345" t="s">
        <v>14</v>
      </c>
      <c r="F345">
        <v>867.5</v>
      </c>
      <c r="G345" s="6">
        <v>849.28</v>
      </c>
      <c r="H345">
        <v>60.4</v>
      </c>
      <c r="I345">
        <v>16.5</v>
      </c>
      <c r="J345" t="s">
        <v>43</v>
      </c>
      <c r="K345" s="17">
        <v>6.02</v>
      </c>
      <c r="L345" t="s">
        <v>19</v>
      </c>
      <c r="M345">
        <v>2021</v>
      </c>
      <c r="N345">
        <v>5112.6655999999994</v>
      </c>
    </row>
    <row r="346" spans="2:14" x14ac:dyDescent="0.25">
      <c r="B346" s="5">
        <v>44615</v>
      </c>
      <c r="C346" t="s">
        <v>23</v>
      </c>
      <c r="D346" t="s">
        <v>13</v>
      </c>
      <c r="E346" t="s">
        <v>14</v>
      </c>
      <c r="F346">
        <v>964.64</v>
      </c>
      <c r="G346" s="6">
        <v>951.14</v>
      </c>
      <c r="H346">
        <v>60.4</v>
      </c>
      <c r="I346">
        <v>16</v>
      </c>
      <c r="J346" t="s">
        <v>43</v>
      </c>
      <c r="K346" s="17">
        <v>6.02</v>
      </c>
      <c r="L346" t="s">
        <v>19</v>
      </c>
      <c r="M346">
        <v>2021</v>
      </c>
      <c r="N346">
        <v>5725.8627999999999</v>
      </c>
    </row>
    <row r="347" spans="2:14" x14ac:dyDescent="0.25">
      <c r="B347" s="5">
        <v>44615</v>
      </c>
      <c r="C347" t="s">
        <v>23</v>
      </c>
      <c r="D347" t="s">
        <v>13</v>
      </c>
      <c r="E347" t="s">
        <v>14</v>
      </c>
      <c r="F347">
        <v>991.79</v>
      </c>
      <c r="G347" s="6">
        <v>970.96</v>
      </c>
      <c r="H347">
        <v>60.4</v>
      </c>
      <c r="I347">
        <v>16.2</v>
      </c>
      <c r="J347" t="s">
        <v>43</v>
      </c>
      <c r="K347" s="17">
        <v>6.02</v>
      </c>
      <c r="L347" t="s">
        <v>19</v>
      </c>
      <c r="M347">
        <v>2021</v>
      </c>
      <c r="N347">
        <v>5845.1791999999996</v>
      </c>
    </row>
    <row r="348" spans="2:14" x14ac:dyDescent="0.25">
      <c r="B348" s="5">
        <v>44617</v>
      </c>
      <c r="C348" t="s">
        <v>23</v>
      </c>
      <c r="D348" t="s">
        <v>46</v>
      </c>
      <c r="E348" t="s">
        <v>14</v>
      </c>
      <c r="F348">
        <v>996.07</v>
      </c>
      <c r="G348" s="6">
        <v>982.13</v>
      </c>
      <c r="H348">
        <v>60.2</v>
      </c>
      <c r="I348">
        <v>16</v>
      </c>
      <c r="J348" t="s">
        <v>43</v>
      </c>
      <c r="K348" s="17">
        <v>6.02</v>
      </c>
      <c r="L348" t="s">
        <v>19</v>
      </c>
      <c r="M348">
        <v>2021</v>
      </c>
      <c r="N348">
        <v>5912.4225999999999</v>
      </c>
    </row>
    <row r="349" spans="2:14" x14ac:dyDescent="0.25">
      <c r="B349" s="5">
        <v>44617</v>
      </c>
      <c r="C349" t="s">
        <v>23</v>
      </c>
      <c r="D349" t="s">
        <v>46</v>
      </c>
      <c r="E349" t="s">
        <v>14</v>
      </c>
      <c r="F349">
        <v>1018.57</v>
      </c>
      <c r="G349" s="6">
        <v>997.18</v>
      </c>
      <c r="H349">
        <v>61</v>
      </c>
      <c r="I349">
        <v>16.3</v>
      </c>
      <c r="J349" t="s">
        <v>43</v>
      </c>
      <c r="K349" s="17">
        <v>6.02</v>
      </c>
      <c r="L349" t="s">
        <v>19</v>
      </c>
      <c r="M349">
        <v>2021</v>
      </c>
      <c r="N349">
        <v>6003.0235999999995</v>
      </c>
    </row>
    <row r="350" spans="2:14" x14ac:dyDescent="0.25">
      <c r="B350" s="5">
        <v>44617</v>
      </c>
      <c r="C350" t="s">
        <v>23</v>
      </c>
      <c r="D350" t="s">
        <v>46</v>
      </c>
      <c r="E350" t="s">
        <v>14</v>
      </c>
      <c r="F350">
        <v>1030</v>
      </c>
      <c r="G350" s="6">
        <v>1015.58</v>
      </c>
      <c r="H350">
        <v>60.3</v>
      </c>
      <c r="I350">
        <v>16</v>
      </c>
      <c r="J350" t="s">
        <v>43</v>
      </c>
      <c r="K350" s="17">
        <v>6.02</v>
      </c>
      <c r="L350" t="s">
        <v>19</v>
      </c>
      <c r="M350">
        <v>2021</v>
      </c>
      <c r="N350">
        <v>6113.7915999999996</v>
      </c>
    </row>
    <row r="351" spans="2:14" x14ac:dyDescent="0.25">
      <c r="B351" s="5">
        <v>44617</v>
      </c>
      <c r="C351" t="s">
        <v>23</v>
      </c>
      <c r="D351" t="s">
        <v>46</v>
      </c>
      <c r="E351" t="s">
        <v>14</v>
      </c>
      <c r="F351">
        <v>988.21</v>
      </c>
      <c r="G351" s="6">
        <v>974.38</v>
      </c>
      <c r="H351">
        <v>60.5</v>
      </c>
      <c r="I351">
        <v>16</v>
      </c>
      <c r="J351" t="s">
        <v>43</v>
      </c>
      <c r="K351" s="17">
        <v>6.02</v>
      </c>
      <c r="L351" t="s">
        <v>19</v>
      </c>
      <c r="M351">
        <v>2021</v>
      </c>
      <c r="N351">
        <v>5865.7675999999992</v>
      </c>
    </row>
    <row r="352" spans="2:14" x14ac:dyDescent="0.25">
      <c r="B352" s="5">
        <v>44617</v>
      </c>
      <c r="C352" t="s">
        <v>23</v>
      </c>
      <c r="D352" t="s">
        <v>46</v>
      </c>
      <c r="E352" t="s">
        <v>14</v>
      </c>
      <c r="F352">
        <v>976.43</v>
      </c>
      <c r="G352" s="6">
        <v>259.35000000000002</v>
      </c>
      <c r="H352">
        <v>60.4</v>
      </c>
      <c r="I352">
        <v>15.9</v>
      </c>
      <c r="J352" t="s">
        <v>43</v>
      </c>
      <c r="K352" s="17">
        <v>6.02</v>
      </c>
      <c r="L352" t="s">
        <v>19</v>
      </c>
      <c r="M352">
        <v>2021</v>
      </c>
      <c r="N352">
        <v>1561.287</v>
      </c>
    </row>
    <row r="353" spans="2:14" x14ac:dyDescent="0.25">
      <c r="B353" s="5">
        <v>44617</v>
      </c>
      <c r="C353" t="s">
        <v>23</v>
      </c>
      <c r="G353" s="6">
        <v>703.41</v>
      </c>
      <c r="J353" t="s">
        <v>43</v>
      </c>
      <c r="K353" s="17">
        <v>6.38</v>
      </c>
      <c r="L353" t="s">
        <v>19</v>
      </c>
      <c r="M353">
        <v>2021</v>
      </c>
      <c r="N353">
        <v>4487.7557999999999</v>
      </c>
    </row>
    <row r="354" spans="2:14" x14ac:dyDescent="0.25">
      <c r="B354" s="5">
        <v>44617</v>
      </c>
      <c r="C354" t="s">
        <v>23</v>
      </c>
      <c r="D354" t="s">
        <v>46</v>
      </c>
      <c r="E354" t="s">
        <v>14</v>
      </c>
      <c r="F354">
        <v>961.07</v>
      </c>
      <c r="G354" s="6">
        <v>947.62</v>
      </c>
      <c r="H354">
        <v>60.3</v>
      </c>
      <c r="I354">
        <v>16</v>
      </c>
      <c r="J354" t="s">
        <v>43</v>
      </c>
      <c r="K354" s="17">
        <v>6.38</v>
      </c>
      <c r="L354" t="s">
        <v>19</v>
      </c>
      <c r="M354">
        <v>2021</v>
      </c>
      <c r="N354">
        <v>6045.8155999999999</v>
      </c>
    </row>
    <row r="355" spans="2:14" x14ac:dyDescent="0.25">
      <c r="B355" s="5">
        <v>44624</v>
      </c>
      <c r="C355" t="s">
        <v>23</v>
      </c>
      <c r="D355" t="s">
        <v>60</v>
      </c>
      <c r="E355" t="s">
        <v>14</v>
      </c>
      <c r="F355">
        <v>932.14</v>
      </c>
      <c r="G355" s="6">
        <v>932.14</v>
      </c>
      <c r="H355">
        <v>60.4</v>
      </c>
      <c r="I355">
        <v>15.2</v>
      </c>
      <c r="J355" t="s">
        <v>43</v>
      </c>
      <c r="K355" s="17">
        <v>7.36</v>
      </c>
      <c r="L355" t="s">
        <v>19</v>
      </c>
      <c r="M355">
        <v>2021</v>
      </c>
      <c r="N355">
        <v>6860.5504000000001</v>
      </c>
    </row>
    <row r="356" spans="2:14" x14ac:dyDescent="0.25">
      <c r="B356" s="5">
        <v>44627</v>
      </c>
      <c r="C356" t="s">
        <v>23</v>
      </c>
      <c r="D356" t="s">
        <v>46</v>
      </c>
      <c r="E356" t="s">
        <v>14</v>
      </c>
      <c r="F356">
        <v>980.71</v>
      </c>
      <c r="G356" s="6">
        <v>973.85</v>
      </c>
      <c r="H356">
        <v>60.2</v>
      </c>
      <c r="I356">
        <v>15.5</v>
      </c>
      <c r="J356" t="s">
        <v>43</v>
      </c>
      <c r="K356" s="17">
        <v>6.38</v>
      </c>
      <c r="L356" t="s">
        <v>19</v>
      </c>
      <c r="M356">
        <v>2021</v>
      </c>
      <c r="N356">
        <v>6213.1630000000005</v>
      </c>
    </row>
    <row r="357" spans="2:14" x14ac:dyDescent="0.25">
      <c r="B357" s="5">
        <v>44627</v>
      </c>
      <c r="C357" t="s">
        <v>23</v>
      </c>
      <c r="D357" t="s">
        <v>46</v>
      </c>
      <c r="E357" t="s">
        <v>14</v>
      </c>
      <c r="F357">
        <v>952.86</v>
      </c>
      <c r="G357" s="6">
        <v>946.19</v>
      </c>
      <c r="H357">
        <v>60.6</v>
      </c>
      <c r="I357">
        <v>15.3</v>
      </c>
      <c r="J357" t="s">
        <v>43</v>
      </c>
      <c r="K357" s="17">
        <v>6.38</v>
      </c>
      <c r="L357" t="s">
        <v>19</v>
      </c>
      <c r="M357">
        <v>2021</v>
      </c>
      <c r="N357">
        <v>6036.6922000000004</v>
      </c>
    </row>
    <row r="358" spans="2:14" x14ac:dyDescent="0.25">
      <c r="B358" s="5">
        <v>44628</v>
      </c>
      <c r="C358" t="s">
        <v>23</v>
      </c>
      <c r="D358" t="s">
        <v>46</v>
      </c>
      <c r="E358" t="s">
        <v>14</v>
      </c>
      <c r="F358">
        <v>961.07</v>
      </c>
      <c r="G358" s="6">
        <v>954.34</v>
      </c>
      <c r="H358">
        <v>60.5</v>
      </c>
      <c r="I358">
        <v>15.3</v>
      </c>
      <c r="J358" t="s">
        <v>43</v>
      </c>
      <c r="K358" s="17">
        <v>6.38</v>
      </c>
      <c r="L358" t="s">
        <v>19</v>
      </c>
      <c r="M358">
        <v>2021</v>
      </c>
      <c r="N358">
        <v>6088.6891999999998</v>
      </c>
    </row>
    <row r="359" spans="2:14" x14ac:dyDescent="0.25">
      <c r="B359" s="5">
        <v>44628</v>
      </c>
      <c r="C359" t="s">
        <v>23</v>
      </c>
      <c r="D359" t="s">
        <v>46</v>
      </c>
      <c r="E359" t="s">
        <v>14</v>
      </c>
      <c r="F359">
        <v>474.59</v>
      </c>
      <c r="G359" s="6">
        <v>474.59</v>
      </c>
      <c r="H359">
        <v>60.7</v>
      </c>
      <c r="I359">
        <v>15</v>
      </c>
      <c r="J359" t="s">
        <v>43</v>
      </c>
      <c r="K359" s="17">
        <v>6.38</v>
      </c>
      <c r="L359" t="s">
        <v>19</v>
      </c>
      <c r="M359">
        <v>2021</v>
      </c>
      <c r="N359">
        <v>3027.8842</v>
      </c>
    </row>
    <row r="360" spans="2:14" x14ac:dyDescent="0.25">
      <c r="B360" s="5">
        <v>44628</v>
      </c>
      <c r="C360" t="s">
        <v>23</v>
      </c>
      <c r="D360" t="s">
        <v>46</v>
      </c>
      <c r="E360" t="s">
        <v>14</v>
      </c>
      <c r="F360">
        <v>518.62</v>
      </c>
      <c r="G360" s="6">
        <v>518.62</v>
      </c>
      <c r="J360" t="s">
        <v>43</v>
      </c>
      <c r="K360" s="17">
        <v>7.05</v>
      </c>
      <c r="L360" t="s">
        <v>19</v>
      </c>
      <c r="M360">
        <v>2021</v>
      </c>
      <c r="N360">
        <v>3656.2709999999997</v>
      </c>
    </row>
    <row r="361" spans="2:14" x14ac:dyDescent="0.25">
      <c r="B361" s="5">
        <v>44628</v>
      </c>
      <c r="C361" t="s">
        <v>23</v>
      </c>
      <c r="D361" t="s">
        <v>46</v>
      </c>
      <c r="E361" t="s">
        <v>14</v>
      </c>
      <c r="F361">
        <v>484.77</v>
      </c>
      <c r="G361" s="6">
        <v>481.3</v>
      </c>
      <c r="H361">
        <v>60.3</v>
      </c>
      <c r="I361">
        <v>15.2</v>
      </c>
      <c r="J361" t="s">
        <v>43</v>
      </c>
      <c r="K361" s="17">
        <v>7.05</v>
      </c>
      <c r="L361" t="s">
        <v>19</v>
      </c>
      <c r="M361">
        <v>2021</v>
      </c>
      <c r="N361">
        <v>3393.165</v>
      </c>
    </row>
    <row r="362" spans="2:14" x14ac:dyDescent="0.25">
      <c r="B362" s="5">
        <v>44628</v>
      </c>
      <c r="C362" t="s">
        <v>23</v>
      </c>
      <c r="D362" t="s">
        <v>46</v>
      </c>
      <c r="E362" t="s">
        <v>14</v>
      </c>
      <c r="F362">
        <v>476.66</v>
      </c>
      <c r="G362" s="6">
        <v>473.32</v>
      </c>
      <c r="J362" t="s">
        <v>43</v>
      </c>
      <c r="K362" s="17">
        <v>7.57</v>
      </c>
      <c r="L362" t="s">
        <v>19</v>
      </c>
      <c r="M362">
        <v>2021</v>
      </c>
      <c r="N362">
        <v>3583.0324000000001</v>
      </c>
    </row>
    <row r="363" spans="2:14" x14ac:dyDescent="0.25">
      <c r="B363" s="5">
        <v>44707</v>
      </c>
      <c r="C363" t="s">
        <v>23</v>
      </c>
      <c r="D363" t="s">
        <v>46</v>
      </c>
      <c r="E363" t="s">
        <v>52</v>
      </c>
      <c r="F363">
        <v>1073.93</v>
      </c>
      <c r="G363" s="6">
        <v>1073.93</v>
      </c>
      <c r="H363">
        <v>60.2</v>
      </c>
      <c r="I363">
        <v>15</v>
      </c>
      <c r="J363" t="s">
        <v>43</v>
      </c>
      <c r="K363" s="17">
        <v>8</v>
      </c>
      <c r="L363" t="s">
        <v>19</v>
      </c>
      <c r="M363">
        <v>2021</v>
      </c>
      <c r="N363">
        <v>8591.44</v>
      </c>
    </row>
    <row r="364" spans="2:14" x14ac:dyDescent="0.25">
      <c r="B364" s="5">
        <v>44708</v>
      </c>
      <c r="C364" t="s">
        <v>23</v>
      </c>
      <c r="D364" t="s">
        <v>46</v>
      </c>
      <c r="E364" t="s">
        <v>52</v>
      </c>
      <c r="F364">
        <v>1050.3599999999999</v>
      </c>
      <c r="G364" s="6">
        <v>1050.3599999999999</v>
      </c>
      <c r="H364">
        <v>60.4</v>
      </c>
      <c r="I364">
        <v>15</v>
      </c>
      <c r="J364" t="s">
        <v>43</v>
      </c>
      <c r="K364" s="17">
        <v>8</v>
      </c>
      <c r="L364" t="s">
        <v>19</v>
      </c>
      <c r="M364">
        <v>2021</v>
      </c>
      <c r="N364">
        <v>8402.8799999999992</v>
      </c>
    </row>
    <row r="365" spans="2:14" x14ac:dyDescent="0.25">
      <c r="B365" s="5">
        <v>44709</v>
      </c>
      <c r="C365" t="s">
        <v>23</v>
      </c>
      <c r="D365" t="s">
        <v>46</v>
      </c>
      <c r="E365" t="s">
        <v>52</v>
      </c>
      <c r="F365">
        <v>1035</v>
      </c>
      <c r="G365" s="6">
        <v>1035</v>
      </c>
      <c r="H365">
        <v>59.9</v>
      </c>
      <c r="I365">
        <v>14.4</v>
      </c>
      <c r="J365" t="s">
        <v>43</v>
      </c>
      <c r="K365" s="17">
        <v>8</v>
      </c>
      <c r="L365" t="s">
        <v>19</v>
      </c>
      <c r="M365">
        <v>2021</v>
      </c>
      <c r="N365">
        <v>8280</v>
      </c>
    </row>
    <row r="366" spans="2:14" x14ac:dyDescent="0.25">
      <c r="B366" s="5">
        <v>44710</v>
      </c>
      <c r="C366" t="s">
        <v>23</v>
      </c>
      <c r="D366" t="s">
        <v>46</v>
      </c>
      <c r="E366" t="s">
        <v>52</v>
      </c>
      <c r="F366">
        <v>1013.57</v>
      </c>
      <c r="G366" s="6">
        <v>1013.57</v>
      </c>
      <c r="H366">
        <v>60.3</v>
      </c>
      <c r="I366">
        <v>15</v>
      </c>
      <c r="J366" t="s">
        <v>43</v>
      </c>
      <c r="K366" s="17">
        <v>8</v>
      </c>
      <c r="L366" t="s">
        <v>19</v>
      </c>
      <c r="M366">
        <v>2021</v>
      </c>
      <c r="N366">
        <v>8108.56</v>
      </c>
    </row>
    <row r="367" spans="2:14" x14ac:dyDescent="0.25">
      <c r="B367" s="5">
        <v>44711</v>
      </c>
      <c r="C367" t="s">
        <v>23</v>
      </c>
      <c r="D367" t="s">
        <v>46</v>
      </c>
      <c r="E367" t="s">
        <v>52</v>
      </c>
      <c r="F367">
        <v>832.97</v>
      </c>
      <c r="G367" s="6">
        <v>827.14</v>
      </c>
      <c r="H367">
        <v>60.1</v>
      </c>
      <c r="I367">
        <v>15.2</v>
      </c>
      <c r="J367" t="s">
        <v>43</v>
      </c>
      <c r="K367" s="17">
        <v>8</v>
      </c>
      <c r="L367" t="s">
        <v>19</v>
      </c>
      <c r="M367">
        <v>2021</v>
      </c>
      <c r="N367">
        <v>6617.12</v>
      </c>
    </row>
    <row r="368" spans="2:14" x14ac:dyDescent="0.25">
      <c r="B368" s="5">
        <v>44712</v>
      </c>
      <c r="C368" t="s">
        <v>23</v>
      </c>
      <c r="D368" t="s">
        <v>46</v>
      </c>
      <c r="E368" t="s">
        <v>52</v>
      </c>
      <c r="F368">
        <v>144.16999999999999</v>
      </c>
      <c r="G368" s="6">
        <v>143.16</v>
      </c>
      <c r="J368" t="s">
        <v>43</v>
      </c>
      <c r="K368" s="17">
        <v>8.08</v>
      </c>
      <c r="L368" t="s">
        <v>19</v>
      </c>
      <c r="M368">
        <v>2021</v>
      </c>
      <c r="N368">
        <v>1156.7328</v>
      </c>
    </row>
    <row r="369" spans="2:14" x14ac:dyDescent="0.25">
      <c r="B369" s="5">
        <v>44742</v>
      </c>
      <c r="C369" t="s">
        <v>23</v>
      </c>
      <c r="D369" t="s">
        <v>46</v>
      </c>
      <c r="E369" t="s">
        <v>52</v>
      </c>
      <c r="F369">
        <v>1058.93</v>
      </c>
      <c r="G369" s="6">
        <v>1058.93</v>
      </c>
      <c r="H369">
        <v>60.2</v>
      </c>
      <c r="I369">
        <v>14.58</v>
      </c>
      <c r="J369" t="s">
        <v>43</v>
      </c>
      <c r="K369" s="17">
        <v>7.54</v>
      </c>
      <c r="L369" t="s">
        <v>19</v>
      </c>
      <c r="M369">
        <v>2021</v>
      </c>
      <c r="N369">
        <v>7984.3322000000007</v>
      </c>
    </row>
    <row r="370" spans="2:14" x14ac:dyDescent="0.25">
      <c r="B370" s="5">
        <v>44754</v>
      </c>
      <c r="C370" t="s">
        <v>23</v>
      </c>
      <c r="D370" t="s">
        <v>46</v>
      </c>
      <c r="E370" t="s">
        <v>52</v>
      </c>
      <c r="F370">
        <v>1122.5</v>
      </c>
      <c r="G370" s="6">
        <v>1122.5</v>
      </c>
      <c r="H370">
        <v>62.2</v>
      </c>
      <c r="I370">
        <v>14.4</v>
      </c>
      <c r="J370" t="s">
        <v>43</v>
      </c>
      <c r="K370" s="17">
        <v>7.44</v>
      </c>
      <c r="L370" t="s">
        <v>19</v>
      </c>
      <c r="M370">
        <v>2021</v>
      </c>
      <c r="N370">
        <v>8351.4</v>
      </c>
    </row>
    <row r="371" spans="2:14" x14ac:dyDescent="0.25">
      <c r="B371" s="5">
        <v>44755</v>
      </c>
      <c r="C371" t="s">
        <v>23</v>
      </c>
      <c r="D371" t="s">
        <v>46</v>
      </c>
      <c r="E371" t="s">
        <v>52</v>
      </c>
      <c r="F371">
        <v>1067.5</v>
      </c>
      <c r="G371" s="6">
        <v>1067.5</v>
      </c>
      <c r="H371">
        <v>62.2</v>
      </c>
      <c r="I371">
        <v>14</v>
      </c>
      <c r="J371" t="s">
        <v>43</v>
      </c>
      <c r="K371" s="17">
        <v>7.27</v>
      </c>
      <c r="L371" t="s">
        <v>19</v>
      </c>
      <c r="M371">
        <v>2021</v>
      </c>
      <c r="N371">
        <v>7760.7249999999995</v>
      </c>
    </row>
    <row r="372" spans="2:14" x14ac:dyDescent="0.25">
      <c r="B372" s="5">
        <v>44761</v>
      </c>
      <c r="C372" t="s">
        <v>23</v>
      </c>
      <c r="D372" t="s">
        <v>46</v>
      </c>
      <c r="E372" t="s">
        <v>52</v>
      </c>
      <c r="F372">
        <v>1121.07</v>
      </c>
      <c r="G372" s="6">
        <v>1121.07</v>
      </c>
      <c r="H372">
        <v>61.6</v>
      </c>
      <c r="I372">
        <v>14</v>
      </c>
      <c r="J372" t="s">
        <v>43</v>
      </c>
      <c r="K372" s="17">
        <v>7</v>
      </c>
      <c r="L372" t="s">
        <v>19</v>
      </c>
      <c r="M372">
        <v>2021</v>
      </c>
      <c r="N372">
        <v>7847.49</v>
      </c>
    </row>
    <row r="373" spans="2:14" x14ac:dyDescent="0.25">
      <c r="B373" s="5">
        <v>44762</v>
      </c>
      <c r="C373" t="s">
        <v>23</v>
      </c>
      <c r="D373" t="s">
        <v>46</v>
      </c>
      <c r="E373" t="s">
        <v>52</v>
      </c>
      <c r="F373">
        <v>1133.21</v>
      </c>
      <c r="G373" s="6">
        <v>1133.21</v>
      </c>
      <c r="H373">
        <v>62.3</v>
      </c>
      <c r="I373">
        <v>14</v>
      </c>
      <c r="J373" t="s">
        <v>43</v>
      </c>
      <c r="K373" s="17">
        <v>7</v>
      </c>
      <c r="L373" t="s">
        <v>19</v>
      </c>
      <c r="M373">
        <v>2021</v>
      </c>
      <c r="N373">
        <v>7932.47</v>
      </c>
    </row>
    <row r="374" spans="2:14" x14ac:dyDescent="0.25">
      <c r="B374" s="5">
        <v>44762</v>
      </c>
      <c r="C374" t="s">
        <v>23</v>
      </c>
      <c r="D374" t="s">
        <v>46</v>
      </c>
      <c r="E374" t="s">
        <v>52</v>
      </c>
      <c r="F374">
        <v>433.93</v>
      </c>
      <c r="G374" s="6">
        <v>433.93</v>
      </c>
      <c r="H374">
        <v>61.6</v>
      </c>
      <c r="I374">
        <v>13</v>
      </c>
      <c r="J374" t="s">
        <v>43</v>
      </c>
      <c r="K374" s="17">
        <v>7</v>
      </c>
      <c r="L374" t="s">
        <v>19</v>
      </c>
      <c r="M374">
        <v>2021</v>
      </c>
      <c r="N374">
        <v>3037.51</v>
      </c>
    </row>
    <row r="375" spans="2:14" x14ac:dyDescent="0.25">
      <c r="B375" s="5">
        <v>44574</v>
      </c>
      <c r="C375" t="s">
        <v>23</v>
      </c>
      <c r="D375" t="s">
        <v>46</v>
      </c>
      <c r="E375" t="s">
        <v>14</v>
      </c>
      <c r="F375">
        <v>751</v>
      </c>
      <c r="G375" s="6">
        <v>683.41</v>
      </c>
      <c r="H375">
        <v>14.5</v>
      </c>
      <c r="I375">
        <v>49.9</v>
      </c>
      <c r="J375" t="s">
        <v>43</v>
      </c>
      <c r="K375" s="17">
        <v>13</v>
      </c>
      <c r="L375" t="s">
        <v>15</v>
      </c>
      <c r="M375">
        <v>2021</v>
      </c>
      <c r="N375">
        <v>8884.33</v>
      </c>
    </row>
    <row r="376" spans="2:14" x14ac:dyDescent="0.25">
      <c r="B376" s="5">
        <v>44574</v>
      </c>
      <c r="C376" t="s">
        <v>23</v>
      </c>
      <c r="D376" t="s">
        <v>46</v>
      </c>
      <c r="E376" t="s">
        <v>14</v>
      </c>
      <c r="F376">
        <v>770.67</v>
      </c>
      <c r="G376" s="6">
        <v>724.43</v>
      </c>
      <c r="H376">
        <v>13.9</v>
      </c>
      <c r="I376">
        <v>54.2</v>
      </c>
      <c r="J376" t="s">
        <v>43</v>
      </c>
      <c r="K376" s="17">
        <v>13</v>
      </c>
      <c r="L376" t="s">
        <v>15</v>
      </c>
      <c r="M376">
        <v>2021</v>
      </c>
      <c r="N376">
        <v>9417.59</v>
      </c>
    </row>
    <row r="377" spans="2:14" x14ac:dyDescent="0.25">
      <c r="B377" s="5">
        <v>44214</v>
      </c>
      <c r="C377" t="s">
        <v>23</v>
      </c>
      <c r="D377" t="s">
        <v>46</v>
      </c>
      <c r="E377" t="s">
        <v>52</v>
      </c>
      <c r="F377">
        <v>886.67</v>
      </c>
      <c r="G377" s="6">
        <v>877.8</v>
      </c>
      <c r="H377">
        <v>13.2</v>
      </c>
      <c r="I377">
        <v>54.7</v>
      </c>
      <c r="J377" t="s">
        <v>43</v>
      </c>
      <c r="K377" s="17">
        <v>13</v>
      </c>
      <c r="L377" t="s">
        <v>15</v>
      </c>
      <c r="M377">
        <v>2021</v>
      </c>
      <c r="N377">
        <v>11411.4</v>
      </c>
    </row>
    <row r="378" spans="2:14" x14ac:dyDescent="0.25">
      <c r="B378" s="5">
        <v>44216</v>
      </c>
      <c r="C378" t="s">
        <v>23</v>
      </c>
      <c r="D378" t="s">
        <v>46</v>
      </c>
      <c r="E378" t="s">
        <v>14</v>
      </c>
      <c r="F378">
        <v>846</v>
      </c>
      <c r="G378" s="6">
        <v>837.54</v>
      </c>
      <c r="H378">
        <v>13.3</v>
      </c>
      <c r="I378">
        <v>53.8</v>
      </c>
      <c r="J378" t="s">
        <v>43</v>
      </c>
      <c r="K378" s="17">
        <v>13</v>
      </c>
      <c r="L378" t="s">
        <v>15</v>
      </c>
      <c r="M378">
        <v>2021</v>
      </c>
      <c r="N378">
        <v>10888.02</v>
      </c>
    </row>
    <row r="379" spans="2:14" x14ac:dyDescent="0.25">
      <c r="B379" s="5">
        <v>44581</v>
      </c>
      <c r="C379" t="s">
        <v>23</v>
      </c>
      <c r="D379" t="s">
        <v>46</v>
      </c>
      <c r="E379" t="s">
        <v>14</v>
      </c>
      <c r="F379">
        <v>860.33</v>
      </c>
      <c r="G379" s="6">
        <v>860.33</v>
      </c>
      <c r="H379">
        <v>12.9</v>
      </c>
      <c r="I379">
        <v>54.2</v>
      </c>
      <c r="J379" t="s">
        <v>43</v>
      </c>
      <c r="K379" s="17">
        <v>13</v>
      </c>
      <c r="L379" t="s">
        <v>15</v>
      </c>
      <c r="M379">
        <v>2021</v>
      </c>
      <c r="N379">
        <v>11184.29</v>
      </c>
    </row>
    <row r="380" spans="2:14" x14ac:dyDescent="0.25">
      <c r="B380" s="5">
        <v>44586</v>
      </c>
      <c r="C380" t="s">
        <v>23</v>
      </c>
      <c r="D380" t="s">
        <v>46</v>
      </c>
      <c r="E380" t="s">
        <v>61</v>
      </c>
      <c r="F380">
        <v>826.67</v>
      </c>
      <c r="G380" s="6">
        <v>826.67</v>
      </c>
      <c r="H380">
        <v>13</v>
      </c>
      <c r="I380">
        <v>54.3</v>
      </c>
      <c r="J380" t="s">
        <v>43</v>
      </c>
      <c r="K380" s="17">
        <v>13</v>
      </c>
      <c r="L380" t="s">
        <v>15</v>
      </c>
      <c r="M380">
        <v>2021</v>
      </c>
      <c r="N380">
        <v>10746.71</v>
      </c>
    </row>
    <row r="381" spans="2:14" x14ac:dyDescent="0.25">
      <c r="B381" s="5">
        <v>44586</v>
      </c>
      <c r="C381" t="s">
        <v>23</v>
      </c>
      <c r="D381" t="s">
        <v>46</v>
      </c>
      <c r="E381" t="s">
        <v>61</v>
      </c>
      <c r="F381">
        <v>809</v>
      </c>
      <c r="G381" s="6">
        <v>309.68</v>
      </c>
      <c r="H381">
        <v>13.2</v>
      </c>
      <c r="I381">
        <v>54.2</v>
      </c>
      <c r="J381" t="s">
        <v>43</v>
      </c>
      <c r="K381" s="17">
        <v>13</v>
      </c>
      <c r="L381" t="s">
        <v>15</v>
      </c>
      <c r="M381">
        <v>2021</v>
      </c>
      <c r="N381">
        <v>4025.84</v>
      </c>
    </row>
    <row r="382" spans="2:14" x14ac:dyDescent="0.25">
      <c r="B382" s="5">
        <v>44586</v>
      </c>
      <c r="C382" t="s">
        <v>23</v>
      </c>
      <c r="D382" t="s">
        <v>46</v>
      </c>
      <c r="G382" s="6">
        <v>491.23</v>
      </c>
      <c r="J382" t="s">
        <v>43</v>
      </c>
      <c r="K382" s="17">
        <v>14.02</v>
      </c>
      <c r="L382" t="s">
        <v>15</v>
      </c>
      <c r="M382">
        <v>2021</v>
      </c>
      <c r="N382">
        <v>6887.0446000000002</v>
      </c>
    </row>
    <row r="383" spans="2:14" x14ac:dyDescent="0.25">
      <c r="B383" s="5">
        <v>44586</v>
      </c>
      <c r="C383" t="s">
        <v>23</v>
      </c>
      <c r="D383" t="s">
        <v>46</v>
      </c>
      <c r="E383" t="s">
        <v>61</v>
      </c>
      <c r="F383">
        <v>842.67</v>
      </c>
      <c r="G383" s="6">
        <v>842.67</v>
      </c>
      <c r="H383">
        <v>12.7</v>
      </c>
      <c r="I383">
        <v>54.2</v>
      </c>
      <c r="J383" t="s">
        <v>43</v>
      </c>
      <c r="K383" s="17">
        <v>14.02</v>
      </c>
      <c r="L383" t="s">
        <v>15</v>
      </c>
      <c r="M383">
        <v>2021</v>
      </c>
      <c r="N383">
        <v>11814.233399999999</v>
      </c>
    </row>
    <row r="384" spans="2:14" x14ac:dyDescent="0.25">
      <c r="B384" s="5">
        <v>44586</v>
      </c>
      <c r="C384" t="s">
        <v>23</v>
      </c>
      <c r="D384" t="s">
        <v>46</v>
      </c>
      <c r="E384" t="s">
        <v>61</v>
      </c>
      <c r="F384">
        <v>847</v>
      </c>
      <c r="G384" s="6">
        <v>847</v>
      </c>
      <c r="H384">
        <v>12.7</v>
      </c>
      <c r="I384">
        <v>54.9</v>
      </c>
      <c r="J384" t="s">
        <v>43</v>
      </c>
      <c r="K384" s="17">
        <v>14.02</v>
      </c>
      <c r="L384" t="s">
        <v>15</v>
      </c>
      <c r="M384">
        <v>2021</v>
      </c>
      <c r="N384">
        <v>11874.94</v>
      </c>
    </row>
    <row r="385" spans="2:14" x14ac:dyDescent="0.25">
      <c r="B385" s="5">
        <v>44593</v>
      </c>
      <c r="C385" t="s">
        <v>23</v>
      </c>
      <c r="D385" t="s">
        <v>46</v>
      </c>
      <c r="E385" t="s">
        <v>14</v>
      </c>
      <c r="F385">
        <v>848.67</v>
      </c>
      <c r="G385" s="6">
        <v>848.67</v>
      </c>
      <c r="H385">
        <v>12.7</v>
      </c>
      <c r="I385">
        <v>54.2</v>
      </c>
      <c r="J385" t="s">
        <v>43</v>
      </c>
      <c r="K385" s="17">
        <v>14.02</v>
      </c>
      <c r="L385" t="s">
        <v>15</v>
      </c>
      <c r="M385">
        <v>2021</v>
      </c>
      <c r="N385">
        <v>11898.3534</v>
      </c>
    </row>
    <row r="386" spans="2:14" x14ac:dyDescent="0.25">
      <c r="B386" s="5">
        <v>44593</v>
      </c>
      <c r="C386" t="s">
        <v>23</v>
      </c>
      <c r="D386" t="s">
        <v>46</v>
      </c>
      <c r="E386" t="s">
        <v>61</v>
      </c>
      <c r="F386">
        <v>849.33</v>
      </c>
      <c r="G386" s="6">
        <v>849.33</v>
      </c>
      <c r="H386">
        <v>12.8</v>
      </c>
      <c r="I386">
        <v>54.3</v>
      </c>
      <c r="J386" t="s">
        <v>43</v>
      </c>
      <c r="K386" s="17">
        <v>14.02</v>
      </c>
      <c r="L386" t="s">
        <v>15</v>
      </c>
      <c r="M386">
        <v>2021</v>
      </c>
      <c r="N386">
        <v>11907.606600000001</v>
      </c>
    </row>
    <row r="387" spans="2:14" x14ac:dyDescent="0.25">
      <c r="B387" s="5">
        <v>44593</v>
      </c>
      <c r="C387" t="s">
        <v>23</v>
      </c>
      <c r="D387" t="s">
        <v>46</v>
      </c>
      <c r="E387" t="s">
        <v>14</v>
      </c>
      <c r="F387">
        <v>862.67</v>
      </c>
      <c r="G387" s="6">
        <v>862.67</v>
      </c>
      <c r="H387">
        <v>12.2</v>
      </c>
      <c r="I387">
        <v>54.4</v>
      </c>
      <c r="J387" t="s">
        <v>43</v>
      </c>
      <c r="K387" s="17">
        <v>14.02</v>
      </c>
      <c r="L387" t="s">
        <v>15</v>
      </c>
      <c r="M387">
        <v>2021</v>
      </c>
      <c r="N387">
        <v>12094.633399999999</v>
      </c>
    </row>
    <row r="388" spans="2:14" x14ac:dyDescent="0.25">
      <c r="B388" s="5">
        <v>44593</v>
      </c>
      <c r="C388" t="s">
        <v>23</v>
      </c>
      <c r="D388" t="s">
        <v>46</v>
      </c>
      <c r="E388" t="s">
        <v>61</v>
      </c>
      <c r="F388" t="s">
        <v>62</v>
      </c>
      <c r="G388" s="6">
        <v>258.43</v>
      </c>
      <c r="H388">
        <v>12.2</v>
      </c>
      <c r="I388">
        <v>55.7</v>
      </c>
      <c r="J388" t="s">
        <v>43</v>
      </c>
      <c r="K388" s="17">
        <v>14.02</v>
      </c>
      <c r="L388" t="s">
        <v>15</v>
      </c>
      <c r="M388">
        <v>2021</v>
      </c>
      <c r="N388">
        <v>3623.1886</v>
      </c>
    </row>
    <row r="389" spans="2:14" x14ac:dyDescent="0.25">
      <c r="B389" s="5">
        <v>44593</v>
      </c>
      <c r="C389" t="s">
        <v>23</v>
      </c>
      <c r="D389" t="s">
        <v>46</v>
      </c>
      <c r="G389" s="6">
        <v>503.81</v>
      </c>
      <c r="J389" t="s">
        <v>43</v>
      </c>
      <c r="K389" s="17">
        <v>13.51</v>
      </c>
      <c r="L389" t="s">
        <v>15</v>
      </c>
      <c r="M389">
        <v>2021</v>
      </c>
      <c r="N389">
        <v>6806.4731000000002</v>
      </c>
    </row>
    <row r="390" spans="2:14" x14ac:dyDescent="0.25">
      <c r="B390" s="5">
        <v>44593</v>
      </c>
      <c r="C390" t="s">
        <v>23</v>
      </c>
      <c r="D390" t="s">
        <v>46</v>
      </c>
      <c r="E390" t="s">
        <v>61</v>
      </c>
      <c r="F390" t="s">
        <v>62</v>
      </c>
      <c r="G390" s="6">
        <v>856</v>
      </c>
      <c r="J390" t="s">
        <v>43</v>
      </c>
      <c r="K390" s="17">
        <v>13.51</v>
      </c>
      <c r="L390" t="s">
        <v>15</v>
      </c>
      <c r="M390">
        <v>2021</v>
      </c>
      <c r="N390">
        <v>11564.56</v>
      </c>
    </row>
    <row r="391" spans="2:14" x14ac:dyDescent="0.25">
      <c r="B391" s="5">
        <v>44593</v>
      </c>
      <c r="C391" t="s">
        <v>23</v>
      </c>
      <c r="D391" t="s">
        <v>46</v>
      </c>
      <c r="E391" t="s">
        <v>14</v>
      </c>
      <c r="F391">
        <v>850.33</v>
      </c>
      <c r="G391" s="6">
        <v>850.33</v>
      </c>
      <c r="H391">
        <v>12.3</v>
      </c>
      <c r="I391">
        <v>55.4</v>
      </c>
      <c r="J391" t="s">
        <v>43</v>
      </c>
      <c r="K391" s="17">
        <v>13.51</v>
      </c>
      <c r="L391" t="s">
        <v>15</v>
      </c>
      <c r="M391">
        <v>2021</v>
      </c>
      <c r="N391">
        <v>11487.9583</v>
      </c>
    </row>
    <row r="392" spans="2:14" x14ac:dyDescent="0.25">
      <c r="B392" s="5">
        <v>44593</v>
      </c>
      <c r="C392" t="s">
        <v>23</v>
      </c>
      <c r="D392" t="s">
        <v>46</v>
      </c>
      <c r="E392" t="s">
        <v>61</v>
      </c>
      <c r="F392" t="s">
        <v>62</v>
      </c>
      <c r="G392" s="6">
        <v>809.12</v>
      </c>
      <c r="J392" t="s">
        <v>43</v>
      </c>
      <c r="L392" t="s">
        <v>15</v>
      </c>
      <c r="M392">
        <v>2021</v>
      </c>
      <c r="N392">
        <v>0</v>
      </c>
    </row>
    <row r="393" spans="2:14" x14ac:dyDescent="0.25">
      <c r="B393" s="5">
        <v>44593</v>
      </c>
      <c r="C393" t="s">
        <v>23</v>
      </c>
      <c r="D393" t="s">
        <v>46</v>
      </c>
      <c r="E393" t="s">
        <v>14</v>
      </c>
      <c r="F393">
        <v>874.67</v>
      </c>
      <c r="G393" s="6">
        <v>874.67</v>
      </c>
      <c r="H393">
        <v>12</v>
      </c>
      <c r="I393">
        <v>55.5</v>
      </c>
      <c r="J393" t="s">
        <v>43</v>
      </c>
      <c r="K393" s="17">
        <v>13.51</v>
      </c>
      <c r="L393" t="s">
        <v>15</v>
      </c>
      <c r="M393">
        <v>2021</v>
      </c>
      <c r="N393">
        <v>11816.7917</v>
      </c>
    </row>
    <row r="394" spans="2:14" x14ac:dyDescent="0.25">
      <c r="B394" s="5">
        <v>44601</v>
      </c>
      <c r="C394" t="s">
        <v>23</v>
      </c>
      <c r="D394" t="s">
        <v>46</v>
      </c>
      <c r="E394" t="s">
        <v>14</v>
      </c>
      <c r="F394">
        <v>769.67</v>
      </c>
      <c r="G394" s="6">
        <v>768.13</v>
      </c>
      <c r="H394">
        <v>11.8</v>
      </c>
      <c r="I394">
        <v>55.4</v>
      </c>
      <c r="J394" t="s">
        <v>43</v>
      </c>
      <c r="K394" s="17">
        <v>13.51</v>
      </c>
      <c r="L394" t="s">
        <v>15</v>
      </c>
      <c r="M394">
        <v>2021</v>
      </c>
      <c r="N394">
        <v>10377.436299999999</v>
      </c>
    </row>
    <row r="395" spans="2:14" x14ac:dyDescent="0.25">
      <c r="B395" s="5">
        <v>44601</v>
      </c>
      <c r="C395" t="s">
        <v>23</v>
      </c>
      <c r="D395" t="s">
        <v>46</v>
      </c>
      <c r="E395" t="s">
        <v>14</v>
      </c>
      <c r="F395">
        <v>826</v>
      </c>
      <c r="G395" s="6">
        <v>147.06</v>
      </c>
      <c r="H395">
        <v>11.4</v>
      </c>
      <c r="I395">
        <v>55.3</v>
      </c>
      <c r="J395" t="s">
        <v>43</v>
      </c>
      <c r="K395" s="17">
        <v>13.51</v>
      </c>
      <c r="L395" t="s">
        <v>15</v>
      </c>
      <c r="M395">
        <v>2021</v>
      </c>
      <c r="N395">
        <v>1986.7806</v>
      </c>
    </row>
    <row r="396" spans="2:14" x14ac:dyDescent="0.25">
      <c r="B396" s="5">
        <v>44601</v>
      </c>
      <c r="C396" t="s">
        <v>23</v>
      </c>
      <c r="D396" t="s">
        <v>46</v>
      </c>
      <c r="G396" s="6">
        <v>678.94</v>
      </c>
      <c r="J396" t="s">
        <v>43</v>
      </c>
      <c r="K396" s="17">
        <v>13.8</v>
      </c>
      <c r="L396" t="s">
        <v>15</v>
      </c>
      <c r="M396">
        <v>2021</v>
      </c>
      <c r="N396">
        <v>9369.3720000000012</v>
      </c>
    </row>
    <row r="397" spans="2:14" x14ac:dyDescent="0.25">
      <c r="B397" s="5">
        <v>44601</v>
      </c>
      <c r="C397" t="s">
        <v>23</v>
      </c>
      <c r="D397" t="s">
        <v>46</v>
      </c>
      <c r="E397" t="s">
        <v>14</v>
      </c>
      <c r="F397">
        <v>785</v>
      </c>
      <c r="G397" s="6">
        <v>785</v>
      </c>
      <c r="H397">
        <v>11.4</v>
      </c>
      <c r="I397">
        <v>55.3</v>
      </c>
      <c r="J397" t="s">
        <v>43</v>
      </c>
      <c r="K397" s="17">
        <v>13.8</v>
      </c>
      <c r="L397" t="s">
        <v>15</v>
      </c>
      <c r="M397">
        <v>2021</v>
      </c>
      <c r="N397">
        <v>10833</v>
      </c>
    </row>
    <row r="398" spans="2:14" x14ac:dyDescent="0.25">
      <c r="B398" s="5">
        <v>44601</v>
      </c>
      <c r="C398" t="s">
        <v>23</v>
      </c>
      <c r="D398" t="s">
        <v>46</v>
      </c>
      <c r="E398" t="s">
        <v>14</v>
      </c>
      <c r="F398">
        <v>813.67</v>
      </c>
      <c r="G398" s="6">
        <v>813.67</v>
      </c>
      <c r="H398">
        <v>11.2</v>
      </c>
      <c r="I398">
        <v>53.4</v>
      </c>
      <c r="J398" t="s">
        <v>43</v>
      </c>
      <c r="K398" s="17">
        <v>13.8</v>
      </c>
      <c r="L398" t="s">
        <v>15</v>
      </c>
      <c r="M398">
        <v>2021</v>
      </c>
      <c r="N398">
        <v>11228.646000000001</v>
      </c>
    </row>
    <row r="399" spans="2:14" x14ac:dyDescent="0.25">
      <c r="B399" s="5">
        <v>44602</v>
      </c>
      <c r="C399" t="s">
        <v>23</v>
      </c>
      <c r="D399" t="s">
        <v>46</v>
      </c>
      <c r="E399" t="s">
        <v>14</v>
      </c>
      <c r="F399">
        <v>832</v>
      </c>
      <c r="G399" s="6">
        <v>722.39</v>
      </c>
      <c r="H399">
        <v>11.2</v>
      </c>
      <c r="I399">
        <v>55.5</v>
      </c>
      <c r="J399" t="s">
        <v>43</v>
      </c>
      <c r="K399" s="17">
        <v>13.8</v>
      </c>
      <c r="L399" t="s">
        <v>15</v>
      </c>
      <c r="M399">
        <v>2021</v>
      </c>
      <c r="N399">
        <v>9968.982</v>
      </c>
    </row>
    <row r="400" spans="2:14" x14ac:dyDescent="0.25">
      <c r="B400" s="5">
        <v>44602</v>
      </c>
      <c r="C400" t="s">
        <v>23</v>
      </c>
      <c r="D400" t="s">
        <v>46</v>
      </c>
      <c r="G400" s="6">
        <v>109.61</v>
      </c>
      <c r="J400" t="s">
        <v>43</v>
      </c>
      <c r="K400" s="17">
        <v>14.51</v>
      </c>
      <c r="L400" t="s">
        <v>15</v>
      </c>
      <c r="M400">
        <v>2021</v>
      </c>
      <c r="N400">
        <v>1590.4411</v>
      </c>
    </row>
    <row r="401" spans="2:14" x14ac:dyDescent="0.25">
      <c r="B401" s="5">
        <v>44602</v>
      </c>
      <c r="C401" t="s">
        <v>23</v>
      </c>
      <c r="D401" t="s">
        <v>46</v>
      </c>
      <c r="E401" t="s">
        <v>14</v>
      </c>
      <c r="F401">
        <v>832.67</v>
      </c>
      <c r="G401" s="6">
        <v>832.67</v>
      </c>
      <c r="H401">
        <v>11</v>
      </c>
      <c r="I401">
        <v>55.7</v>
      </c>
      <c r="J401" t="s">
        <v>43</v>
      </c>
      <c r="K401" s="17">
        <v>14.51</v>
      </c>
      <c r="L401" t="s">
        <v>15</v>
      </c>
      <c r="M401">
        <v>2021</v>
      </c>
      <c r="N401">
        <v>12082.0417</v>
      </c>
    </row>
    <row r="402" spans="2:14" x14ac:dyDescent="0.25">
      <c r="B402" s="5">
        <v>44602</v>
      </c>
      <c r="C402" t="s">
        <v>23</v>
      </c>
      <c r="D402" t="s">
        <v>20</v>
      </c>
      <c r="E402" t="s">
        <v>14</v>
      </c>
      <c r="F402">
        <v>876</v>
      </c>
      <c r="G402" s="6">
        <v>876</v>
      </c>
      <c r="H402">
        <v>11.5</v>
      </c>
      <c r="I402">
        <v>55</v>
      </c>
      <c r="J402" t="s">
        <v>43</v>
      </c>
      <c r="K402" s="17">
        <v>15</v>
      </c>
      <c r="L402" t="s">
        <v>15</v>
      </c>
      <c r="M402">
        <v>2021</v>
      </c>
      <c r="N402">
        <v>13140</v>
      </c>
    </row>
    <row r="403" spans="2:14" x14ac:dyDescent="0.25">
      <c r="B403" s="5">
        <v>44603</v>
      </c>
      <c r="C403" t="s">
        <v>23</v>
      </c>
      <c r="D403" t="s">
        <v>20</v>
      </c>
      <c r="E403" t="s">
        <v>14</v>
      </c>
      <c r="F403">
        <v>879.33</v>
      </c>
      <c r="G403" s="6">
        <v>879.33</v>
      </c>
      <c r="H403">
        <v>11.3</v>
      </c>
      <c r="I403">
        <v>55.5</v>
      </c>
      <c r="J403" t="s">
        <v>43</v>
      </c>
      <c r="K403" s="17">
        <v>15</v>
      </c>
      <c r="L403" t="s">
        <v>15</v>
      </c>
      <c r="M403">
        <v>2021</v>
      </c>
      <c r="N403">
        <v>13189.95</v>
      </c>
    </row>
    <row r="404" spans="2:14" x14ac:dyDescent="0.25">
      <c r="B404" s="5">
        <v>44606</v>
      </c>
      <c r="C404" t="s">
        <v>23</v>
      </c>
      <c r="D404" t="s">
        <v>46</v>
      </c>
      <c r="E404" t="s">
        <v>14</v>
      </c>
      <c r="F404">
        <v>853.33</v>
      </c>
      <c r="G404" s="6">
        <v>853.33</v>
      </c>
      <c r="H404">
        <v>11.2</v>
      </c>
      <c r="I404">
        <v>55.7</v>
      </c>
      <c r="J404" t="s">
        <v>43</v>
      </c>
      <c r="K404" s="17">
        <v>14.51</v>
      </c>
      <c r="L404" t="s">
        <v>15</v>
      </c>
      <c r="M404">
        <v>2021</v>
      </c>
      <c r="N404">
        <v>12381.818300000001</v>
      </c>
    </row>
    <row r="405" spans="2:14" x14ac:dyDescent="0.25">
      <c r="B405" s="5">
        <v>44606</v>
      </c>
      <c r="C405" t="s">
        <v>23</v>
      </c>
      <c r="D405" t="s">
        <v>20</v>
      </c>
      <c r="E405" t="s">
        <v>14</v>
      </c>
      <c r="F405">
        <v>877.67</v>
      </c>
      <c r="G405" s="6">
        <v>877.67</v>
      </c>
      <c r="H405">
        <v>11.4</v>
      </c>
      <c r="I405">
        <v>55.2</v>
      </c>
      <c r="J405" t="s">
        <v>43</v>
      </c>
      <c r="K405" s="17">
        <v>15</v>
      </c>
      <c r="L405" t="s">
        <v>15</v>
      </c>
      <c r="M405">
        <v>2021</v>
      </c>
      <c r="N405">
        <v>13165.05</v>
      </c>
    </row>
    <row r="406" spans="2:14" x14ac:dyDescent="0.25">
      <c r="B406" s="5">
        <v>44606</v>
      </c>
      <c r="C406" t="s">
        <v>23</v>
      </c>
      <c r="D406" t="s">
        <v>20</v>
      </c>
      <c r="E406" t="s">
        <v>14</v>
      </c>
      <c r="F406">
        <v>883.33</v>
      </c>
      <c r="G406" s="6">
        <v>883.33</v>
      </c>
      <c r="H406">
        <v>11.3</v>
      </c>
      <c r="I406">
        <v>54.9</v>
      </c>
      <c r="J406" t="s">
        <v>43</v>
      </c>
      <c r="K406" s="17">
        <v>15</v>
      </c>
      <c r="L406" t="s">
        <v>15</v>
      </c>
      <c r="M406">
        <v>2021</v>
      </c>
      <c r="N406">
        <v>13249.95</v>
      </c>
    </row>
    <row r="407" spans="2:14" x14ac:dyDescent="0.25">
      <c r="B407" s="5">
        <v>44607</v>
      </c>
      <c r="C407" t="s">
        <v>23</v>
      </c>
      <c r="D407" t="s">
        <v>20</v>
      </c>
      <c r="E407" t="s">
        <v>14</v>
      </c>
      <c r="F407">
        <v>851.67</v>
      </c>
      <c r="G407" s="6">
        <v>851.67</v>
      </c>
      <c r="H407">
        <v>11.4</v>
      </c>
      <c r="I407">
        <v>55.4</v>
      </c>
      <c r="J407" t="s">
        <v>43</v>
      </c>
      <c r="K407" s="17">
        <v>15</v>
      </c>
      <c r="L407" t="s">
        <v>15</v>
      </c>
      <c r="M407">
        <v>2021</v>
      </c>
      <c r="N407">
        <v>12775.05</v>
      </c>
    </row>
    <row r="408" spans="2:14" x14ac:dyDescent="0.25">
      <c r="B408" s="5">
        <v>44607</v>
      </c>
      <c r="C408" t="s">
        <v>23</v>
      </c>
      <c r="D408" t="s">
        <v>20</v>
      </c>
      <c r="E408" t="s">
        <v>14</v>
      </c>
      <c r="F408">
        <v>865.67</v>
      </c>
      <c r="G408" s="6">
        <v>632</v>
      </c>
      <c r="H408">
        <v>11.5</v>
      </c>
      <c r="I408">
        <v>55.4</v>
      </c>
      <c r="J408" t="s">
        <v>43</v>
      </c>
      <c r="K408" s="17">
        <v>15</v>
      </c>
      <c r="L408" t="s">
        <v>15</v>
      </c>
      <c r="M408">
        <v>2021</v>
      </c>
      <c r="N408">
        <v>9480</v>
      </c>
    </row>
    <row r="409" spans="2:14" x14ac:dyDescent="0.25">
      <c r="B409" s="5">
        <v>44607</v>
      </c>
      <c r="C409" t="s">
        <v>23</v>
      </c>
      <c r="D409" t="s">
        <v>20</v>
      </c>
      <c r="G409" s="6">
        <v>233.67</v>
      </c>
      <c r="J409" t="s">
        <v>43</v>
      </c>
      <c r="K409" s="17">
        <v>15.77</v>
      </c>
      <c r="L409" t="s">
        <v>15</v>
      </c>
      <c r="M409">
        <v>2021</v>
      </c>
      <c r="N409">
        <v>3684.9758999999999</v>
      </c>
    </row>
    <row r="410" spans="2:14" x14ac:dyDescent="0.25">
      <c r="B410" s="5">
        <v>44607</v>
      </c>
      <c r="C410" t="s">
        <v>23</v>
      </c>
      <c r="D410" t="s">
        <v>46</v>
      </c>
      <c r="E410" t="s">
        <v>14</v>
      </c>
      <c r="F410">
        <v>875</v>
      </c>
      <c r="G410" s="6">
        <v>875</v>
      </c>
      <c r="H410">
        <v>11.2</v>
      </c>
      <c r="I410">
        <v>55.2</v>
      </c>
      <c r="J410" t="s">
        <v>43</v>
      </c>
      <c r="K410" s="17">
        <v>14.51</v>
      </c>
      <c r="L410" t="s">
        <v>15</v>
      </c>
      <c r="M410">
        <v>2021</v>
      </c>
      <c r="N410">
        <v>12696.25</v>
      </c>
    </row>
    <row r="411" spans="2:14" x14ac:dyDescent="0.25">
      <c r="B411" s="5">
        <v>44608</v>
      </c>
      <c r="C411" t="s">
        <v>23</v>
      </c>
      <c r="D411" t="s">
        <v>46</v>
      </c>
      <c r="E411" t="s">
        <v>14</v>
      </c>
      <c r="F411">
        <v>880</v>
      </c>
      <c r="G411" s="6">
        <v>880</v>
      </c>
      <c r="H411">
        <v>11</v>
      </c>
      <c r="I411">
        <v>55.6</v>
      </c>
      <c r="J411" t="s">
        <v>43</v>
      </c>
      <c r="K411" s="17">
        <v>14.51</v>
      </c>
      <c r="L411" t="s">
        <v>15</v>
      </c>
      <c r="M411">
        <v>2021</v>
      </c>
      <c r="N411">
        <v>12768.8</v>
      </c>
    </row>
    <row r="412" spans="2:14" x14ac:dyDescent="0.25">
      <c r="B412" s="5">
        <v>44608</v>
      </c>
      <c r="C412" t="s">
        <v>23</v>
      </c>
      <c r="D412" t="s">
        <v>46</v>
      </c>
      <c r="E412" t="s">
        <v>14</v>
      </c>
      <c r="F412">
        <v>888</v>
      </c>
      <c r="G412" s="6">
        <v>888</v>
      </c>
      <c r="H412">
        <v>11</v>
      </c>
      <c r="I412">
        <v>55.3</v>
      </c>
      <c r="J412" t="s">
        <v>43</v>
      </c>
      <c r="K412" s="17">
        <v>14.51</v>
      </c>
      <c r="L412" t="s">
        <v>15</v>
      </c>
      <c r="M412">
        <v>2021</v>
      </c>
      <c r="N412">
        <v>12884.88</v>
      </c>
    </row>
    <row r="413" spans="2:14" x14ac:dyDescent="0.25">
      <c r="B413" s="5">
        <v>44608</v>
      </c>
      <c r="C413" t="s">
        <v>23</v>
      </c>
      <c r="D413" t="s">
        <v>46</v>
      </c>
      <c r="E413" t="s">
        <v>14</v>
      </c>
      <c r="F413">
        <v>895.67</v>
      </c>
      <c r="G413" s="6">
        <v>561.39</v>
      </c>
      <c r="H413">
        <v>10.8</v>
      </c>
      <c r="I413">
        <v>55.7</v>
      </c>
      <c r="J413" t="s">
        <v>43</v>
      </c>
      <c r="K413" s="17">
        <v>14.51</v>
      </c>
      <c r="L413" t="s">
        <v>15</v>
      </c>
      <c r="M413">
        <v>2021</v>
      </c>
      <c r="N413">
        <v>8145.7689</v>
      </c>
    </row>
    <row r="414" spans="2:14" x14ac:dyDescent="0.25">
      <c r="B414" s="5">
        <v>43877</v>
      </c>
      <c r="C414" t="s">
        <v>23</v>
      </c>
      <c r="D414" t="s">
        <v>46</v>
      </c>
      <c r="G414" s="6">
        <v>334.28</v>
      </c>
      <c r="J414" t="s">
        <v>43</v>
      </c>
      <c r="K414" s="17">
        <v>13.08</v>
      </c>
      <c r="L414" t="s">
        <v>15</v>
      </c>
      <c r="M414">
        <v>2021</v>
      </c>
      <c r="N414">
        <v>4372.3823999999995</v>
      </c>
    </row>
    <row r="415" spans="2:14" x14ac:dyDescent="0.25">
      <c r="B415" s="5">
        <v>44608</v>
      </c>
      <c r="C415" t="s">
        <v>23</v>
      </c>
      <c r="D415" t="s">
        <v>46</v>
      </c>
      <c r="E415" t="s">
        <v>14</v>
      </c>
      <c r="F415">
        <v>314</v>
      </c>
      <c r="G415" s="6">
        <v>314</v>
      </c>
      <c r="H415">
        <v>10.9</v>
      </c>
      <c r="I415">
        <v>54.7</v>
      </c>
      <c r="J415" t="s">
        <v>43</v>
      </c>
      <c r="K415" s="17">
        <v>13.08</v>
      </c>
      <c r="L415" t="s">
        <v>15</v>
      </c>
      <c r="M415">
        <v>2021</v>
      </c>
      <c r="N415">
        <v>4107.12</v>
      </c>
    </row>
    <row r="416" spans="2:14" x14ac:dyDescent="0.25">
      <c r="B416" s="5">
        <v>44442</v>
      </c>
      <c r="C416" t="s">
        <v>28</v>
      </c>
      <c r="D416" t="s">
        <v>46</v>
      </c>
      <c r="E416" t="s">
        <v>14</v>
      </c>
      <c r="F416">
        <v>926</v>
      </c>
      <c r="G416" s="6">
        <v>926</v>
      </c>
      <c r="I416">
        <v>13</v>
      </c>
      <c r="L416" t="s">
        <v>15</v>
      </c>
      <c r="M416">
        <v>2021</v>
      </c>
      <c r="N416">
        <v>0</v>
      </c>
    </row>
    <row r="417" spans="2:14" x14ac:dyDescent="0.25">
      <c r="B417" s="5">
        <v>44442</v>
      </c>
      <c r="C417" t="s">
        <v>28</v>
      </c>
      <c r="D417" t="s">
        <v>46</v>
      </c>
      <c r="E417" t="s">
        <v>14</v>
      </c>
      <c r="F417">
        <v>807.67</v>
      </c>
      <c r="G417" s="6">
        <v>807.67</v>
      </c>
      <c r="I417">
        <v>12.4</v>
      </c>
      <c r="L417" t="s">
        <v>15</v>
      </c>
      <c r="M417">
        <v>2021</v>
      </c>
      <c r="N417">
        <v>0</v>
      </c>
    </row>
    <row r="418" spans="2:14" x14ac:dyDescent="0.25">
      <c r="B418" s="5">
        <v>44447</v>
      </c>
      <c r="C418" t="s">
        <v>28</v>
      </c>
      <c r="D418" t="s">
        <v>46</v>
      </c>
      <c r="E418" t="s">
        <v>14</v>
      </c>
      <c r="F418">
        <v>892.67</v>
      </c>
      <c r="G418" s="6">
        <v>892.67</v>
      </c>
      <c r="I418">
        <v>11.7</v>
      </c>
      <c r="L418" t="s">
        <v>15</v>
      </c>
      <c r="M418">
        <v>2021</v>
      </c>
      <c r="N418">
        <v>0</v>
      </c>
    </row>
    <row r="419" spans="2:14" x14ac:dyDescent="0.25">
      <c r="B419" s="5">
        <v>44447</v>
      </c>
      <c r="C419" t="s">
        <v>28</v>
      </c>
      <c r="D419" t="s">
        <v>46</v>
      </c>
      <c r="E419" t="s">
        <v>14</v>
      </c>
      <c r="F419">
        <v>876</v>
      </c>
      <c r="G419" s="6">
        <v>876</v>
      </c>
      <c r="I419">
        <v>11.5</v>
      </c>
      <c r="L419" t="s">
        <v>15</v>
      </c>
      <c r="M419">
        <v>2021</v>
      </c>
      <c r="N419">
        <v>0</v>
      </c>
    </row>
    <row r="420" spans="2:14" x14ac:dyDescent="0.25">
      <c r="B420" s="5">
        <v>44447</v>
      </c>
      <c r="C420" t="s">
        <v>28</v>
      </c>
      <c r="D420" t="s">
        <v>46</v>
      </c>
      <c r="E420" t="s">
        <v>14</v>
      </c>
      <c r="F420">
        <v>898.67</v>
      </c>
      <c r="G420" s="6">
        <v>898.67</v>
      </c>
      <c r="I420">
        <v>11.2</v>
      </c>
      <c r="L420" t="s">
        <v>15</v>
      </c>
      <c r="M420">
        <v>2021</v>
      </c>
      <c r="N420">
        <v>0</v>
      </c>
    </row>
    <row r="421" spans="2:14" x14ac:dyDescent="0.25">
      <c r="B421" s="5">
        <v>44533</v>
      </c>
      <c r="C421" t="s">
        <v>27</v>
      </c>
      <c r="D421" t="s">
        <v>46</v>
      </c>
      <c r="E421" t="s">
        <v>14</v>
      </c>
      <c r="F421">
        <v>899.67</v>
      </c>
      <c r="G421" s="6">
        <v>890.67</v>
      </c>
      <c r="H421">
        <v>52.1</v>
      </c>
      <c r="I421">
        <v>13.3</v>
      </c>
      <c r="J421" t="s">
        <v>43</v>
      </c>
      <c r="K421" s="17">
        <v>14.52</v>
      </c>
      <c r="L421" t="s">
        <v>15</v>
      </c>
      <c r="M421">
        <v>2021</v>
      </c>
      <c r="N421">
        <v>12932.528399999999</v>
      </c>
    </row>
    <row r="422" spans="2:14" x14ac:dyDescent="0.25">
      <c r="B422" s="5">
        <v>44533</v>
      </c>
      <c r="C422" t="s">
        <v>27</v>
      </c>
      <c r="D422" t="s">
        <v>46</v>
      </c>
      <c r="E422" t="s">
        <v>14</v>
      </c>
      <c r="F422">
        <v>934.33</v>
      </c>
      <c r="G422" s="6">
        <v>934.33</v>
      </c>
      <c r="H422">
        <v>54.2</v>
      </c>
      <c r="I422">
        <v>13</v>
      </c>
      <c r="J422" t="s">
        <v>43</v>
      </c>
      <c r="K422" s="17">
        <v>14.52</v>
      </c>
      <c r="L422" t="s">
        <v>15</v>
      </c>
      <c r="M422">
        <v>2021</v>
      </c>
      <c r="N422">
        <v>13566.471600000001</v>
      </c>
    </row>
    <row r="423" spans="2:14" x14ac:dyDescent="0.25">
      <c r="B423" s="5">
        <v>44533</v>
      </c>
      <c r="C423" t="s">
        <v>27</v>
      </c>
      <c r="D423" t="s">
        <v>46</v>
      </c>
      <c r="E423" t="s">
        <v>14</v>
      </c>
      <c r="F423">
        <v>934.67</v>
      </c>
      <c r="G423" s="6">
        <v>934.67</v>
      </c>
      <c r="H423">
        <v>54.2</v>
      </c>
      <c r="I423">
        <v>13</v>
      </c>
      <c r="J423" t="s">
        <v>43</v>
      </c>
      <c r="K423" s="17">
        <v>14.52</v>
      </c>
      <c r="L423" t="s">
        <v>15</v>
      </c>
      <c r="M423">
        <v>2021</v>
      </c>
      <c r="N423">
        <v>13571.408399999998</v>
      </c>
    </row>
    <row r="424" spans="2:14" x14ac:dyDescent="0.25">
      <c r="B424" s="5">
        <v>44533</v>
      </c>
      <c r="C424" t="s">
        <v>27</v>
      </c>
      <c r="D424" t="s">
        <v>46</v>
      </c>
      <c r="E424" t="s">
        <v>14</v>
      </c>
      <c r="F424">
        <v>921.67</v>
      </c>
      <c r="G424" s="6">
        <v>579.33000000000004</v>
      </c>
      <c r="H424">
        <v>54.2</v>
      </c>
      <c r="I424">
        <v>12.9</v>
      </c>
      <c r="J424" t="s">
        <v>43</v>
      </c>
      <c r="K424" s="17">
        <v>14.52</v>
      </c>
      <c r="L424" t="s">
        <v>15</v>
      </c>
      <c r="M424">
        <v>2021</v>
      </c>
      <c r="N424">
        <v>8411.8716000000004</v>
      </c>
    </row>
    <row r="425" spans="2:14" x14ac:dyDescent="0.25">
      <c r="B425" s="5">
        <v>44533</v>
      </c>
      <c r="C425" t="s">
        <v>27</v>
      </c>
      <c r="G425" s="6">
        <v>342.34</v>
      </c>
      <c r="J425" t="s">
        <v>43</v>
      </c>
      <c r="K425" s="17">
        <v>13.04</v>
      </c>
      <c r="L425" t="s">
        <v>15</v>
      </c>
      <c r="M425">
        <v>2021</v>
      </c>
      <c r="N425">
        <v>4464.1135999999997</v>
      </c>
    </row>
    <row r="426" spans="2:14" x14ac:dyDescent="0.25">
      <c r="B426" s="5">
        <v>44544</v>
      </c>
      <c r="C426" t="s">
        <v>27</v>
      </c>
      <c r="D426" t="s">
        <v>46</v>
      </c>
      <c r="E426" t="s">
        <v>14</v>
      </c>
      <c r="F426">
        <v>900.33</v>
      </c>
      <c r="G426" s="6">
        <v>900.33</v>
      </c>
      <c r="H426">
        <v>52.1</v>
      </c>
      <c r="I426">
        <v>13</v>
      </c>
      <c r="J426" t="s">
        <v>43</v>
      </c>
      <c r="K426" s="17">
        <v>13.04</v>
      </c>
      <c r="L426" t="s">
        <v>15</v>
      </c>
      <c r="M426">
        <v>2021</v>
      </c>
      <c r="N426">
        <v>11740.3032</v>
      </c>
    </row>
    <row r="427" spans="2:14" x14ac:dyDescent="0.25">
      <c r="B427" s="5">
        <v>44544</v>
      </c>
      <c r="C427" t="s">
        <v>27</v>
      </c>
      <c r="D427" t="s">
        <v>46</v>
      </c>
      <c r="E427" t="s">
        <v>14</v>
      </c>
      <c r="F427">
        <v>887.33</v>
      </c>
      <c r="G427" s="6">
        <v>887.33</v>
      </c>
      <c r="H427">
        <v>54.2</v>
      </c>
      <c r="I427">
        <v>13</v>
      </c>
      <c r="J427" t="s">
        <v>43</v>
      </c>
      <c r="K427" s="17">
        <v>13.04</v>
      </c>
      <c r="L427" t="s">
        <v>15</v>
      </c>
      <c r="M427">
        <v>2021</v>
      </c>
      <c r="N427">
        <v>11570.7832</v>
      </c>
    </row>
    <row r="428" spans="2:14" x14ac:dyDescent="0.25">
      <c r="B428" s="5">
        <v>44544</v>
      </c>
      <c r="C428" t="s">
        <v>27</v>
      </c>
      <c r="D428" t="s">
        <v>46</v>
      </c>
      <c r="E428" t="s">
        <v>14</v>
      </c>
      <c r="F428">
        <v>892.67</v>
      </c>
      <c r="G428" s="6">
        <v>892.67</v>
      </c>
      <c r="H428">
        <v>51</v>
      </c>
      <c r="I428">
        <v>12.8</v>
      </c>
      <c r="J428" t="s">
        <v>43</v>
      </c>
      <c r="K428" s="17">
        <v>13.04</v>
      </c>
      <c r="L428" t="s">
        <v>15</v>
      </c>
      <c r="M428">
        <v>2021</v>
      </c>
      <c r="N428">
        <v>11640.416799999999</v>
      </c>
    </row>
    <row r="429" spans="2:14" x14ac:dyDescent="0.25">
      <c r="B429" s="5">
        <v>44544</v>
      </c>
      <c r="C429" t="s">
        <v>27</v>
      </c>
      <c r="D429" t="s">
        <v>46</v>
      </c>
      <c r="E429" t="s">
        <v>14</v>
      </c>
      <c r="F429">
        <v>895.33</v>
      </c>
      <c r="G429" s="6">
        <v>895.33</v>
      </c>
      <c r="H429">
        <v>54.2</v>
      </c>
      <c r="I429">
        <v>12.9</v>
      </c>
      <c r="J429" t="s">
        <v>43</v>
      </c>
      <c r="K429" s="17">
        <v>13.04</v>
      </c>
      <c r="L429" t="s">
        <v>15</v>
      </c>
      <c r="M429">
        <v>2021</v>
      </c>
      <c r="N429">
        <v>11675.1032</v>
      </c>
    </row>
    <row r="430" spans="2:14" x14ac:dyDescent="0.25">
      <c r="B430" s="5">
        <v>44544</v>
      </c>
      <c r="C430" t="s">
        <v>27</v>
      </c>
      <c r="D430" t="s">
        <v>46</v>
      </c>
      <c r="E430" t="s">
        <v>14</v>
      </c>
      <c r="F430">
        <v>915.67</v>
      </c>
      <c r="G430" s="6">
        <v>915.67</v>
      </c>
      <c r="H430">
        <v>54.2</v>
      </c>
      <c r="I430">
        <v>12.9</v>
      </c>
      <c r="J430" t="s">
        <v>43</v>
      </c>
      <c r="K430" s="17">
        <v>13.04</v>
      </c>
      <c r="L430" t="s">
        <v>15</v>
      </c>
      <c r="M430">
        <v>2021</v>
      </c>
      <c r="N430">
        <v>11940.336799999999</v>
      </c>
    </row>
    <row r="431" spans="2:14" x14ac:dyDescent="0.25">
      <c r="B431" s="5">
        <v>44924</v>
      </c>
      <c r="C431" t="s">
        <v>27</v>
      </c>
      <c r="D431" t="s">
        <v>46</v>
      </c>
      <c r="E431" t="s">
        <v>14</v>
      </c>
      <c r="F431">
        <v>876.33</v>
      </c>
      <c r="G431" s="6">
        <v>867.57</v>
      </c>
      <c r="H431">
        <v>54.2</v>
      </c>
      <c r="I431">
        <v>13.2</v>
      </c>
      <c r="J431" t="s">
        <v>43</v>
      </c>
      <c r="K431" s="17">
        <v>13</v>
      </c>
      <c r="L431" t="s">
        <v>15</v>
      </c>
      <c r="M431">
        <v>2021</v>
      </c>
      <c r="N431">
        <v>11278.41</v>
      </c>
    </row>
    <row r="432" spans="2:14" x14ac:dyDescent="0.25">
      <c r="B432" s="5">
        <v>44924</v>
      </c>
      <c r="C432" t="s">
        <v>27</v>
      </c>
      <c r="D432" t="s">
        <v>46</v>
      </c>
      <c r="E432" t="s">
        <v>14</v>
      </c>
      <c r="F432">
        <v>883</v>
      </c>
      <c r="G432" s="6">
        <v>883</v>
      </c>
      <c r="H432">
        <v>52.5</v>
      </c>
      <c r="I432">
        <v>13</v>
      </c>
      <c r="J432" t="s">
        <v>43</v>
      </c>
      <c r="K432" s="17">
        <v>13</v>
      </c>
      <c r="L432" t="s">
        <v>15</v>
      </c>
      <c r="M432">
        <v>2021</v>
      </c>
      <c r="N432">
        <v>11479</v>
      </c>
    </row>
    <row r="433" spans="2:14" x14ac:dyDescent="0.25">
      <c r="B433" s="5">
        <v>44924</v>
      </c>
      <c r="C433" t="s">
        <v>27</v>
      </c>
      <c r="D433" t="s">
        <v>46</v>
      </c>
      <c r="E433" t="s">
        <v>14</v>
      </c>
      <c r="F433">
        <v>875.33</v>
      </c>
      <c r="G433" s="6">
        <v>866.58</v>
      </c>
      <c r="H433">
        <v>52.4</v>
      </c>
      <c r="I433">
        <v>13.2</v>
      </c>
      <c r="J433" t="s">
        <v>43</v>
      </c>
      <c r="K433" s="17">
        <v>13</v>
      </c>
      <c r="L433" t="s">
        <v>15</v>
      </c>
      <c r="M433">
        <v>2021</v>
      </c>
      <c r="N433">
        <v>11265.54</v>
      </c>
    </row>
    <row r="434" spans="2:14" x14ac:dyDescent="0.25">
      <c r="B434" s="5">
        <v>44924</v>
      </c>
      <c r="C434" t="s">
        <v>27</v>
      </c>
      <c r="D434" t="s">
        <v>46</v>
      </c>
      <c r="E434" t="s">
        <v>14</v>
      </c>
      <c r="F434">
        <v>847</v>
      </c>
      <c r="G434" s="6">
        <v>847</v>
      </c>
      <c r="H434">
        <v>54.2</v>
      </c>
      <c r="I434">
        <v>13</v>
      </c>
      <c r="J434" t="s">
        <v>43</v>
      </c>
      <c r="K434" s="17">
        <v>13</v>
      </c>
      <c r="L434" t="s">
        <v>15</v>
      </c>
      <c r="M434">
        <v>2021</v>
      </c>
      <c r="N434">
        <v>11011</v>
      </c>
    </row>
    <row r="435" spans="2:14" x14ac:dyDescent="0.25">
      <c r="B435" s="5">
        <v>44564</v>
      </c>
      <c r="C435" t="s">
        <v>27</v>
      </c>
      <c r="D435" t="s">
        <v>46</v>
      </c>
      <c r="E435" t="s">
        <v>14</v>
      </c>
      <c r="F435">
        <v>794.33</v>
      </c>
      <c r="G435" s="6">
        <v>535.85</v>
      </c>
      <c r="H435">
        <v>52.7</v>
      </c>
      <c r="I435">
        <v>12.8</v>
      </c>
      <c r="J435" t="s">
        <v>43</v>
      </c>
      <c r="K435" s="17">
        <v>13</v>
      </c>
      <c r="L435" t="s">
        <v>15</v>
      </c>
      <c r="M435">
        <v>2021</v>
      </c>
      <c r="N435">
        <v>6966.05</v>
      </c>
    </row>
    <row r="436" spans="2:14" x14ac:dyDescent="0.25">
      <c r="B436" s="5">
        <v>44564</v>
      </c>
      <c r="C436" t="s">
        <v>27</v>
      </c>
      <c r="G436" s="6">
        <v>258.48</v>
      </c>
      <c r="J436" t="s">
        <v>43</v>
      </c>
      <c r="K436" s="17">
        <v>13</v>
      </c>
      <c r="L436" t="s">
        <v>15</v>
      </c>
      <c r="M436">
        <v>2021</v>
      </c>
      <c r="N436">
        <v>3360.2400000000002</v>
      </c>
    </row>
    <row r="437" spans="2:14" x14ac:dyDescent="0.25">
      <c r="B437" s="5">
        <v>44564</v>
      </c>
      <c r="C437" t="s">
        <v>27</v>
      </c>
      <c r="D437" t="s">
        <v>46</v>
      </c>
      <c r="E437" t="s">
        <v>14</v>
      </c>
      <c r="F437">
        <v>814.33</v>
      </c>
      <c r="G437" s="6">
        <v>814.33</v>
      </c>
      <c r="H437">
        <v>52.5</v>
      </c>
      <c r="I437">
        <v>12.5</v>
      </c>
      <c r="J437" t="s">
        <v>43</v>
      </c>
      <c r="K437" s="17">
        <v>13</v>
      </c>
      <c r="L437" t="s">
        <v>15</v>
      </c>
      <c r="M437">
        <v>2021</v>
      </c>
      <c r="N437">
        <v>10586.29</v>
      </c>
    </row>
    <row r="438" spans="2:14" x14ac:dyDescent="0.25">
      <c r="B438" s="5">
        <v>44564</v>
      </c>
      <c r="C438" t="s">
        <v>27</v>
      </c>
      <c r="D438" t="s">
        <v>46</v>
      </c>
      <c r="E438" t="s">
        <v>14</v>
      </c>
      <c r="F438">
        <v>807.33</v>
      </c>
      <c r="G438" s="6">
        <v>807.33</v>
      </c>
      <c r="H438">
        <v>52.1</v>
      </c>
      <c r="I438">
        <v>12.5</v>
      </c>
      <c r="J438" t="s">
        <v>43</v>
      </c>
      <c r="K438" s="17">
        <v>13</v>
      </c>
      <c r="L438" t="s">
        <v>15</v>
      </c>
      <c r="M438">
        <v>2021</v>
      </c>
      <c r="N438">
        <v>10495.29</v>
      </c>
    </row>
    <row r="439" spans="2:14" x14ac:dyDescent="0.25">
      <c r="B439" s="5">
        <v>44565</v>
      </c>
      <c r="C439" t="s">
        <v>27</v>
      </c>
      <c r="D439" t="s">
        <v>46</v>
      </c>
      <c r="E439" t="s">
        <v>14</v>
      </c>
      <c r="F439">
        <v>822.67</v>
      </c>
      <c r="G439" s="6">
        <v>822.67</v>
      </c>
      <c r="H439">
        <v>54.2</v>
      </c>
      <c r="I439">
        <v>12.8</v>
      </c>
      <c r="J439" t="s">
        <v>43</v>
      </c>
      <c r="K439" s="17">
        <v>13.9</v>
      </c>
      <c r="L439" t="s">
        <v>15</v>
      </c>
      <c r="M439">
        <v>2021</v>
      </c>
      <c r="N439">
        <v>11435.112999999999</v>
      </c>
    </row>
    <row r="440" spans="2:14" x14ac:dyDescent="0.25">
      <c r="B440" s="5">
        <v>44565</v>
      </c>
      <c r="C440" t="s">
        <v>27</v>
      </c>
      <c r="D440" t="s">
        <v>46</v>
      </c>
      <c r="E440" t="s">
        <v>14</v>
      </c>
      <c r="F440">
        <v>659.33</v>
      </c>
      <c r="G440" s="6">
        <v>659.33</v>
      </c>
      <c r="H440">
        <v>54.2</v>
      </c>
      <c r="I440">
        <v>12.3</v>
      </c>
      <c r="J440" t="s">
        <v>43</v>
      </c>
      <c r="K440" s="17">
        <v>13.9</v>
      </c>
      <c r="L440" t="s">
        <v>15</v>
      </c>
      <c r="M440">
        <v>2021</v>
      </c>
      <c r="N440">
        <v>9164.6869999999999</v>
      </c>
    </row>
    <row r="441" spans="2:14" x14ac:dyDescent="0.25">
      <c r="B441" s="5">
        <v>44447</v>
      </c>
      <c r="C441" t="s">
        <v>29</v>
      </c>
      <c r="D441" t="s">
        <v>46</v>
      </c>
      <c r="E441" t="s">
        <v>14</v>
      </c>
      <c r="F441">
        <v>924</v>
      </c>
      <c r="G441" s="6">
        <v>924</v>
      </c>
      <c r="H441">
        <v>57.3</v>
      </c>
      <c r="I441">
        <v>10.4</v>
      </c>
      <c r="L441" t="s">
        <v>15</v>
      </c>
      <c r="M441">
        <v>2021</v>
      </c>
      <c r="N441">
        <v>0</v>
      </c>
    </row>
    <row r="442" spans="2:14" x14ac:dyDescent="0.25">
      <c r="B442" s="5">
        <v>44447</v>
      </c>
      <c r="C442" t="s">
        <v>29</v>
      </c>
      <c r="D442" t="s">
        <v>46</v>
      </c>
      <c r="E442" t="s">
        <v>14</v>
      </c>
      <c r="F442">
        <v>983.67</v>
      </c>
      <c r="G442" s="6">
        <v>983.67</v>
      </c>
      <c r="H442">
        <v>55.3</v>
      </c>
      <c r="I442">
        <v>10.4</v>
      </c>
      <c r="L442" t="s">
        <v>15</v>
      </c>
      <c r="M442">
        <v>2021</v>
      </c>
      <c r="N442">
        <v>0</v>
      </c>
    </row>
    <row r="443" spans="2:14" x14ac:dyDescent="0.25">
      <c r="B443" s="5">
        <v>44448</v>
      </c>
      <c r="C443" t="s">
        <v>29</v>
      </c>
      <c r="D443" t="s">
        <v>46</v>
      </c>
      <c r="E443" t="s">
        <v>14</v>
      </c>
      <c r="F443">
        <v>863.67</v>
      </c>
      <c r="G443" s="6">
        <v>863.67</v>
      </c>
      <c r="H443">
        <v>56.7</v>
      </c>
      <c r="I443">
        <v>10.199999999999999</v>
      </c>
      <c r="L443" t="s">
        <v>15</v>
      </c>
      <c r="M443">
        <v>2021</v>
      </c>
      <c r="N443"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EB444F-2E8C-4C80-AA40-678194C3D775}">
  <sheetPr codeName="Sheet4"/>
  <dimension ref="A1:M1"/>
  <sheetViews>
    <sheetView workbookViewId="0">
      <selection sqref="A1:M1"/>
    </sheetView>
  </sheetViews>
  <sheetFormatPr defaultRowHeight="15" x14ac:dyDescent="0.25"/>
  <sheetData>
    <row r="1" spans="1:13" x14ac:dyDescent="0.25">
      <c r="A1">
        <v>45306</v>
      </c>
      <c r="B1" t="s">
        <v>21</v>
      </c>
      <c r="C1" t="s">
        <v>13</v>
      </c>
      <c r="D1" t="s">
        <v>14</v>
      </c>
      <c r="E1">
        <v>888</v>
      </c>
      <c r="F1">
        <v>888</v>
      </c>
      <c r="G1">
        <v>57.5</v>
      </c>
      <c r="H1">
        <v>12.5</v>
      </c>
      <c r="I1" t="s">
        <v>16</v>
      </c>
      <c r="J1">
        <v>8.8800000000000008</v>
      </c>
      <c r="K1" t="s">
        <v>15</v>
      </c>
      <c r="L1">
        <v>2024</v>
      </c>
      <c r="M1">
        <v>7885.4400000000005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5E2172-4FD9-41BC-8B8F-058B92968110}">
  <sheetPr codeName="Sheet5"/>
  <dimension ref="B2:H12"/>
  <sheetViews>
    <sheetView workbookViewId="0">
      <selection activeCell="F13" sqref="F13"/>
    </sheetView>
  </sheetViews>
  <sheetFormatPr defaultRowHeight="15" x14ac:dyDescent="0.25"/>
  <cols>
    <col min="2" max="2" width="12" bestFit="1" customWidth="1"/>
    <col min="4" max="4" width="11" bestFit="1" customWidth="1"/>
    <col min="6" max="6" width="9" bestFit="1" customWidth="1"/>
    <col min="8" max="8" width="7.28515625" bestFit="1" customWidth="1"/>
  </cols>
  <sheetData>
    <row r="2" spans="2:8" x14ac:dyDescent="0.25">
      <c r="B2" t="s">
        <v>17</v>
      </c>
      <c r="D2" t="s">
        <v>11</v>
      </c>
      <c r="F2" t="s">
        <v>2</v>
      </c>
      <c r="H2" t="s">
        <v>10</v>
      </c>
    </row>
    <row r="3" spans="2:8" x14ac:dyDescent="0.25">
      <c r="B3" t="s">
        <v>12</v>
      </c>
      <c r="D3" t="s">
        <v>18</v>
      </c>
      <c r="F3" t="s">
        <v>13</v>
      </c>
      <c r="H3">
        <v>2024</v>
      </c>
    </row>
    <row r="4" spans="2:8" x14ac:dyDescent="0.25">
      <c r="B4" t="s">
        <v>21</v>
      </c>
      <c r="D4" t="s">
        <v>15</v>
      </c>
      <c r="F4" t="s">
        <v>20</v>
      </c>
      <c r="H4">
        <v>2025</v>
      </c>
    </row>
    <row r="5" spans="2:8" x14ac:dyDescent="0.25">
      <c r="B5" t="s">
        <v>22</v>
      </c>
      <c r="D5" t="s">
        <v>19</v>
      </c>
      <c r="H5">
        <v>2026</v>
      </c>
    </row>
    <row r="6" spans="2:8" x14ac:dyDescent="0.25">
      <c r="B6" t="s">
        <v>23</v>
      </c>
      <c r="H6">
        <v>2027</v>
      </c>
    </row>
    <row r="7" spans="2:8" x14ac:dyDescent="0.25">
      <c r="B7" t="s">
        <v>24</v>
      </c>
      <c r="H7">
        <v>2028</v>
      </c>
    </row>
    <row r="8" spans="2:8" x14ac:dyDescent="0.25">
      <c r="B8" t="s">
        <v>25</v>
      </c>
      <c r="H8">
        <v>2029</v>
      </c>
    </row>
    <row r="9" spans="2:8" x14ac:dyDescent="0.25">
      <c r="B9" t="s">
        <v>26</v>
      </c>
      <c r="H9">
        <v>2030</v>
      </c>
    </row>
    <row r="10" spans="2:8" x14ac:dyDescent="0.25">
      <c r="B10" t="s">
        <v>27</v>
      </c>
    </row>
    <row r="11" spans="2:8" x14ac:dyDescent="0.25">
      <c r="B11" t="s">
        <v>28</v>
      </c>
    </row>
    <row r="12" spans="2:8" x14ac:dyDescent="0.25">
      <c r="B12" t="s">
        <v>29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Entry Form</vt:lpstr>
      <vt:lpstr>Reports</vt:lpstr>
      <vt:lpstr>Load Sheet</vt:lpstr>
      <vt:lpstr>Raw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Lars Oliver</dc:creator>
  <cp:lastModifiedBy>Lars Oliver</cp:lastModifiedBy>
  <dcterms:created xsi:type="dcterms:W3CDTF">2015-06-05T18:17:20Z</dcterms:created>
  <dcterms:modified xsi:type="dcterms:W3CDTF">2025-02-07T01:28:15Z</dcterms:modified>
</cp:coreProperties>
</file>